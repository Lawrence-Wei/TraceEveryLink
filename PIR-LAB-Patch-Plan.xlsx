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ojects\TraceEveryLink\"/>
    </mc:Choice>
  </mc:AlternateContent>
  <xr:revisionPtr revIDLastSave="0" documentId="13_ncr:20001_{8B5AD555-F883-4FE6-B318-374EEE5102EB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Summary" sheetId="1" r:id="rId1"/>
    <sheet name="Patch Plan" sheetId="2" r:id="rId2"/>
    <sheet name="Device Inventory" sheetId="3" r:id="rId3"/>
    <sheet name="VLAN IP Plan" sheetId="4" r:id="rId4"/>
    <sheet name="Switch Port Plan" sheetId="5" r:id="rId5"/>
    <sheet name="Config Checklist" sheetId="6" r:id="rId6"/>
    <sheet name="TraceEveryLink Import" sheetId="7" r:id="rId7"/>
    <sheet name="Labels" sheetId="8" r:id="rId8"/>
  </sheets>
  <definedNames>
    <definedName name="_xlnm._FilterDatabase" localSheetId="5" hidden="1">'Config Checklist'!$A$3:$F$37</definedName>
    <definedName name="_xlnm._FilterDatabase" localSheetId="2" hidden="1">'Device Inventory'!$A$3:$J$13</definedName>
    <definedName name="_xlnm._FilterDatabase" localSheetId="7" hidden="1">Labels!$A$3:$F$22</definedName>
    <definedName name="_xlnm._FilterDatabase" localSheetId="1" hidden="1">'Patch Plan'!$A$3:$M$11</definedName>
    <definedName name="_xlnm._FilterDatabase" localSheetId="4" hidden="1">'Switch Port Plan'!$A$3:$J$21</definedName>
    <definedName name="_xlnm._FilterDatabase" localSheetId="6" hidden="1">'TraceEveryLink Import'!$A$3:$H$12</definedName>
    <definedName name="_xlnm._FilterDatabase" localSheetId="3" hidden="1">'VLAN IP Plan'!$A$3:$G$9</definedName>
  </definedNames>
  <calcPr calcId="181029"/>
  <fileRecoveryPr repairLoad="1"/>
</workbook>
</file>

<file path=xl/calcChain.xml><?xml version="1.0" encoding="utf-8"?>
<calcChain xmlns="http://schemas.openxmlformats.org/spreadsheetml/2006/main">
  <c r="E13" i="1" l="1"/>
  <c r="E12" i="1"/>
  <c r="E11" i="1"/>
  <c r="E10" i="1"/>
  <c r="E9" i="1"/>
</calcChain>
</file>

<file path=xl/sharedStrings.xml><?xml version="1.0" encoding="utf-8"?>
<sst xmlns="http://schemas.openxmlformats.org/spreadsheetml/2006/main" count="816" uniqueCount="366">
  <si>
    <t>PIR-LAB Patch Plan Summary</t>
  </si>
  <si>
    <t>Generated</t>
  </si>
  <si>
    <t>2026-06-18 12:07</t>
  </si>
  <si>
    <t>Management subnet</t>
  </si>
  <si>
    <t>192.168.77.0/24</t>
  </si>
  <si>
    <t>Gateway</t>
  </si>
  <si>
    <t>PIR-LAB-GW77.1 / 192.168.77.1</t>
  </si>
  <si>
    <t>Static infrastructure range</t>
  </si>
  <si>
    <t>192.168.77.1-192.168.77.99</t>
  </si>
  <si>
    <t>Suggested DHCP pool</t>
  </si>
  <si>
    <t>192.168.77.100-192.168.77.199</t>
  </si>
  <si>
    <t>Metric</t>
  </si>
  <si>
    <t>Value</t>
  </si>
  <si>
    <t>Status</t>
  </si>
  <si>
    <t>Count</t>
  </si>
  <si>
    <t>Devices</t>
  </si>
  <si>
    <t>Planned</t>
  </si>
  <si>
    <t>VLANs</t>
  </si>
  <si>
    <t>In Progress</t>
  </si>
  <si>
    <t>Planned links</t>
  </si>
  <si>
    <t>Confirmed</t>
  </si>
  <si>
    <t>Core switch</t>
  </si>
  <si>
    <t>PIR-LAB-CORE77.2</t>
  </si>
  <si>
    <t>Needs Check</t>
  </si>
  <si>
    <t>Default next hop</t>
  </si>
  <si>
    <t>192.168.77.1</t>
  </si>
  <si>
    <t>Retired</t>
  </si>
  <si>
    <t>Patch Plan</t>
  </si>
  <si>
    <t>现场用法：先按 Order 接线；接完后把 Status 从 Planned 改为 Confirmed，并填写实际颜色、端口或备注。</t>
  </si>
  <si>
    <t>Order</t>
  </si>
  <si>
    <t>Cable ID</t>
  </si>
  <si>
    <t>From Device</t>
  </si>
  <si>
    <t>From Port</t>
  </si>
  <si>
    <t>To Device</t>
  </si>
  <si>
    <t>To Port</t>
  </si>
  <si>
    <t>Media</t>
  </si>
  <si>
    <t>Color</t>
  </si>
  <si>
    <t>VLAN / Trunk</t>
  </si>
  <si>
    <t>Purpose</t>
  </si>
  <si>
    <t>Verification</t>
  </si>
  <si>
    <t>Notes</t>
  </si>
  <si>
    <t>CBL-PIR-GW77-1-CORE77-2</t>
  </si>
  <si>
    <t>PIR-LAB-GW77.1</t>
  </si>
  <si>
    <t>lan1</t>
  </si>
  <si>
    <t>Gi1/0/48</t>
  </si>
  <si>
    <t>Copper</t>
  </si>
  <si>
    <t>Blue</t>
  </si>
  <si>
    <t>VLAN 77 access now; phase 2 trunk 10,20,30,40,50,77</t>
  </si>
  <si>
    <t>iStoreOS uplink to core</t>
  </si>
  <si>
    <t>Ping 192.168.77.1 from core; ping 192.168.77.2 from laptop</t>
  </si>
  <si>
    <t>Do this first</t>
  </si>
  <si>
    <t>CBL-PIR-CORE77-2-DIST77-3</t>
  </si>
  <si>
    <t>Gi1/0/49</t>
  </si>
  <si>
    <t>PIR-LAB-DIST77.3</t>
  </si>
  <si>
    <t>Gi0/49</t>
  </si>
  <si>
    <t>Fiber/SFP</t>
  </si>
  <si>
    <t>Aqua</t>
  </si>
  <si>
    <t>Trunk allow 10,20,30,40,50,77</t>
  </si>
  <si>
    <t>Core to 3560G distribution</t>
  </si>
  <si>
    <t>CDP neighbor correct; VLAN 77 reachable</t>
  </si>
  <si>
    <t>CBL-PIR-CORE77-2-DIST77-4</t>
  </si>
  <si>
    <t>Gi1/0/50</t>
  </si>
  <si>
    <t>PIR-LAB-DIST77.4</t>
  </si>
  <si>
    <t>Gi0/1</t>
  </si>
  <si>
    <t>Core to 3560 PoE distribution</t>
  </si>
  <si>
    <t>CBL-PIR-CORE77-2-ACC77-5</t>
  </si>
  <si>
    <t>Gi1/0/51</t>
  </si>
  <si>
    <t>PIR-LAB-ACC77.5</t>
  </si>
  <si>
    <t>Core to 2960-X access 1</t>
  </si>
  <si>
    <t>Use first SFP uplink on ACC77.5</t>
  </si>
  <si>
    <t>CBL-PIR-CORE77-2-ACC77-6</t>
  </si>
  <si>
    <t>Gi1/0/52</t>
  </si>
  <si>
    <t>PIR-LAB-ACC77.6</t>
  </si>
  <si>
    <t>Core to 2960-X access 2</t>
  </si>
  <si>
    <t>Use first SFP uplink on ACC77.6</t>
  </si>
  <si>
    <t>CBL-PIR-CORE77-2-RTR77-11</t>
  </si>
  <si>
    <t>Gi1/0/11</t>
  </si>
  <si>
    <t>PIR-LAB-RTR77.11</t>
  </si>
  <si>
    <t>Gi0/0</t>
  </si>
  <si>
    <t>Yellow</t>
  </si>
  <si>
    <t>Access VLAN 77</t>
  </si>
  <si>
    <t>1911 management / lab uplink</t>
  </si>
  <si>
    <t>Ping 192.168.77.11</t>
  </si>
  <si>
    <t>Do not enable DHCP/NAT on router</t>
  </si>
  <si>
    <t>CBL-PIR-CORE77-2-RTR77-12</t>
  </si>
  <si>
    <t>Gi1/0/12</t>
  </si>
  <si>
    <t>PIR-LAB-RTR77.12</t>
  </si>
  <si>
    <t>Fa0/0</t>
  </si>
  <si>
    <t>2811 router management</t>
  </si>
  <si>
    <t>Ping 192.168.77.12</t>
  </si>
  <si>
    <t>2811 FE port is 100M</t>
  </si>
  <si>
    <t>CBL-PIR-CORE77-2-VGW77-13</t>
  </si>
  <si>
    <t>Gi1/0/13</t>
  </si>
  <si>
    <t>PIR-LAB-VGW77.13</t>
  </si>
  <si>
    <t>2811 voice gateway management</t>
  </si>
  <si>
    <t>Ping 192.168.77.13</t>
  </si>
  <si>
    <t>Voice gateway role can change later</t>
  </si>
  <si>
    <t>CBL-PIR-CORE77-2-CUCM77-20</t>
  </si>
  <si>
    <t>Gi1/0/20</t>
  </si>
  <si>
    <t>PIR-LAB-CUCM77.20</t>
  </si>
  <si>
    <t>eth0</t>
  </si>
  <si>
    <t>Purple</t>
  </si>
  <si>
    <t>Access VLAN 77 initially</t>
  </si>
  <si>
    <t>CUCM server LAN</t>
  </si>
  <si>
    <t>Ping 192.168.77.20; web login reachable</t>
  </si>
  <si>
    <t>Later route phones from VLAN 20 to CUCM</t>
  </si>
  <si>
    <t>Device Inventory</t>
  </si>
  <si>
    <t>TraceEveryLink 里保留带点号的显示名；如果 Cisco IOS hostname 不接受点号，用 Cisco-safe Hostname。</t>
  </si>
  <si>
    <t>Role</t>
  </si>
  <si>
    <t>TraceEveryLink Name</t>
  </si>
  <si>
    <t>Cisco-safe Hostname</t>
  </si>
  <si>
    <t>Management IP</t>
  </si>
  <si>
    <t>Vendor</t>
  </si>
  <si>
    <t>Model</t>
  </si>
  <si>
    <t>Rack</t>
  </si>
  <si>
    <t>U Position</t>
  </si>
  <si>
    <t>PIR-LAB-GW77-1</t>
  </si>
  <si>
    <t>iStoreOS</t>
  </si>
  <si>
    <t>iStoreOS router</t>
  </si>
  <si>
    <t>External / upstream</t>
  </si>
  <si>
    <t>VLAN 77 gateway and NAT</t>
  </si>
  <si>
    <t>Keep as only DHCP/NAT device initially</t>
  </si>
  <si>
    <t>PIR-LAB-CORE77-2</t>
  </si>
  <si>
    <t>192.168.77.2</t>
  </si>
  <si>
    <t>Cisco</t>
  </si>
  <si>
    <t>WS-C3750G-48TS-S</t>
  </si>
  <si>
    <t>PIR-LAB-R01</t>
  </si>
  <si>
    <t>U42</t>
  </si>
  <si>
    <t>Core / trunk center</t>
  </si>
  <si>
    <t>Confirm exact 3750 SKU from chassis label</t>
  </si>
  <si>
    <t>Distribution switch</t>
  </si>
  <si>
    <t>PIR-LAB-DIST77-3</t>
  </si>
  <si>
    <t>192.168.77.3</t>
  </si>
  <si>
    <t>WS-C3560G-48TS-S</t>
  </si>
  <si>
    <t>U41</t>
  </si>
  <si>
    <t>Gigabit distribution</t>
  </si>
  <si>
    <t>48 x Gi downlinks + SFP uplinks</t>
  </si>
  <si>
    <t>PIR-LAB-DIST77-4</t>
  </si>
  <si>
    <t>192.168.77.4</t>
  </si>
  <si>
    <t>WS-C3560-48PS-S</t>
  </si>
  <si>
    <t>U40</t>
  </si>
  <si>
    <t>PoE / voice distribution</t>
  </si>
  <si>
    <t>Good place to test phones and voice VLAN</t>
  </si>
  <si>
    <t>Access switch</t>
  </si>
  <si>
    <t>PIR-LAB-ACC77-5</t>
  </si>
  <si>
    <t>192.168.77.5</t>
  </si>
  <si>
    <t>WS-C2960X-48FPS-L</t>
  </si>
  <si>
    <t>U39</t>
  </si>
  <si>
    <t>Access switch 1</t>
  </si>
  <si>
    <t>Office / phone endpoints</t>
  </si>
  <si>
    <t>PIR-LAB-ACC77-6</t>
  </si>
  <si>
    <t>192.168.77.6</t>
  </si>
  <si>
    <t>U38</t>
  </si>
  <si>
    <t>Access switch 2</t>
  </si>
  <si>
    <t>Spare access / trunk experiments</t>
  </si>
  <si>
    <t>Router</t>
  </si>
  <si>
    <t>PIR-LAB-RTR77-11</t>
  </si>
  <si>
    <t>192.168.77.11</t>
  </si>
  <si>
    <t>CISCO1911/K9</t>
  </si>
  <si>
    <t>U36</t>
  </si>
  <si>
    <t>Router lab</t>
  </si>
  <si>
    <t>Confirm exact 1900-series SKU from chassis label</t>
  </si>
  <si>
    <t>PIR-LAB-RTR77-12</t>
  </si>
  <si>
    <t>192.168.77.12</t>
  </si>
  <si>
    <t>CISCO2811/K9</t>
  </si>
  <si>
    <t>U35</t>
  </si>
  <si>
    <t>2811 routed-network experiments</t>
  </si>
  <si>
    <t>Voice gateway</t>
  </si>
  <si>
    <t>PIR-LAB-VGW77-13</t>
  </si>
  <si>
    <t>192.168.77.13</t>
  </si>
  <si>
    <t>U34</t>
  </si>
  <si>
    <t>Voice gateway candidate</t>
  </si>
  <si>
    <t>For CUCM, SRST, FXO/FXS, SIP gateway tests</t>
  </si>
  <si>
    <t>CUCM server</t>
  </si>
  <si>
    <t>PIR-LAB-CUCM77-20</t>
  </si>
  <si>
    <t>192.168.77.20</t>
  </si>
  <si>
    <t>CUCM 7.4</t>
  </si>
  <si>
    <t>U31-U32</t>
  </si>
  <si>
    <t>Call manager</t>
  </si>
  <si>
    <t>Keep on VLAN 77 first; move or route to voice VLAN later</t>
  </si>
  <si>
    <t>VLAN IP Plan</t>
  </si>
  <si>
    <t>先只启用 VLAN 77 管理网；其他 VLAN 等所有设备可管理后再逐步打开。</t>
  </si>
  <si>
    <t>VLAN</t>
  </si>
  <si>
    <t>Name</t>
  </si>
  <si>
    <t>Subnet</t>
  </si>
  <si>
    <t>Phase</t>
  </si>
  <si>
    <t>MGMT</t>
  </si>
  <si>
    <t>Device management</t>
  </si>
  <si>
    <t>Phase 1 active</t>
  </si>
  <si>
    <t>Keep static infra in .1-.99; DHCP clients .100-.199</t>
  </si>
  <si>
    <t>OFFICE</t>
  </si>
  <si>
    <t>192.168.10.0/24</t>
  </si>
  <si>
    <t>192.168.10.1</t>
  </si>
  <si>
    <t>Office PCs / test laptops</t>
  </si>
  <si>
    <t>Future</t>
  </si>
  <si>
    <t>Add after VLAN 77 is stable</t>
  </si>
  <si>
    <t>VOICE</t>
  </si>
  <si>
    <t>192.168.20.0/24</t>
  </si>
  <si>
    <t>192.168.20.1</t>
  </si>
  <si>
    <t>IP phones / CUCM voice lab</t>
  </si>
  <si>
    <t>Use voice VLAN on access ports later</t>
  </si>
  <si>
    <t>LAB-RTR</t>
  </si>
  <si>
    <t>192.168.30.0/24</t>
  </si>
  <si>
    <t>192.168.30.1</t>
  </si>
  <si>
    <t>Router experiments</t>
  </si>
  <si>
    <t>Good for routed lab links and loopback-style tests</t>
  </si>
  <si>
    <t>SERVER</t>
  </si>
  <si>
    <t>192.168.40.0/24</t>
  </si>
  <si>
    <t>192.168.40.1</t>
  </si>
  <si>
    <t>Servers / VMs / services</t>
  </si>
  <si>
    <t>Put monitoring, TFTP, syslog, backup boxes here</t>
  </si>
  <si>
    <t>WIFI-IOT</t>
  </si>
  <si>
    <t>192.168.50.0/24</t>
  </si>
  <si>
    <t>192.168.50.1</t>
  </si>
  <si>
    <t>Wi-Fi / IoT / temporary devices</t>
  </si>
  <si>
    <t>Keep away from infrastructure management</t>
  </si>
  <si>
    <t>Switch Port Plan</t>
  </si>
  <si>
    <t>核心口先按简单可通方案配置；后续要玩多 VLAN 时再把上联切 trunk。</t>
  </si>
  <si>
    <t>Device</t>
  </si>
  <si>
    <t>Port / Range</t>
  </si>
  <si>
    <t>Mode</t>
  </si>
  <si>
    <t>Access VLAN</t>
  </si>
  <si>
    <t>Voice VLAN</t>
  </si>
  <si>
    <t>Native VLAN</t>
  </si>
  <si>
    <t>Allowed VLANs</t>
  </si>
  <si>
    <t>Connected To</t>
  </si>
  <si>
    <t>Access first / trunk later</t>
  </si>
  <si>
    <t>77 now</t>
  </si>
  <si>
    <t>77 if trunk later</t>
  </si>
  <si>
    <t>10,20,30,40,50,77</t>
  </si>
  <si>
    <t>PIR-LAB-GW77.1 lan1</t>
  </si>
  <si>
    <t>Uplink to iStoreOS</t>
  </si>
  <si>
    <t>Start simple with access VLAN 77</t>
  </si>
  <si>
    <t>Trunk</t>
  </si>
  <si>
    <t>77</t>
  </si>
  <si>
    <t>PIR-LAB-DIST77.3 Gi0/49</t>
  </si>
  <si>
    <t>Distribution uplink</t>
  </si>
  <si>
    <t>Core to 3560G</t>
  </si>
  <si>
    <t>PIR-LAB-DIST77.4 Gi0/1</t>
  </si>
  <si>
    <t>Core to 3560 PoE</t>
  </si>
  <si>
    <t>PIR-LAB-ACC77.5 Gi1/0/49</t>
  </si>
  <si>
    <t>Access uplink</t>
  </si>
  <si>
    <t>Core to 2960-X #1</t>
  </si>
  <si>
    <t>PIR-LAB-ACC77.6 Gi1/0/49</t>
  </si>
  <si>
    <t>Core to 2960-X #2</t>
  </si>
  <si>
    <t>Access</t>
  </si>
  <si>
    <t>PIR-LAB-RTR77.11 Gi0/0</t>
  </si>
  <si>
    <t>1911 management</t>
  </si>
  <si>
    <t>Router default route to 192.168.77.1</t>
  </si>
  <si>
    <t>PIR-LAB-RTR77.12 Fa0/0</t>
  </si>
  <si>
    <t>2811 management</t>
  </si>
  <si>
    <t>100M endpoint is fine</t>
  </si>
  <si>
    <t>PIR-LAB-VGW77.13 Fa0/0</t>
  </si>
  <si>
    <t>Voice gateway management</t>
  </si>
  <si>
    <t>Can later join voice lab</t>
  </si>
  <si>
    <t>PIR-LAB-CUCM77.20 eth0</t>
  </si>
  <si>
    <t>CUCM management/LAN</t>
  </si>
  <si>
    <t>Keep stable before phone testing</t>
  </si>
  <si>
    <t>Gi0/1-Gi0/24</t>
  </si>
  <si>
    <t>10</t>
  </si>
  <si>
    <t>Office/test devices</t>
  </si>
  <si>
    <t>Office client ports</t>
  </si>
  <si>
    <t>Use after VLAN 10 is created</t>
  </si>
  <si>
    <t>Gi0/25-Gi0/36</t>
  </si>
  <si>
    <t>30</t>
  </si>
  <si>
    <t>Router lab devices</t>
  </si>
  <si>
    <t>Lab routed segment</t>
  </si>
  <si>
    <t>Use for experiments</t>
  </si>
  <si>
    <t>Fa0/1-Fa0/24</t>
  </si>
  <si>
    <t>Access + voice</t>
  </si>
  <si>
    <t>20</t>
  </si>
  <si>
    <t>PC + phone pairs</t>
  </si>
  <si>
    <t>Voice lab access</t>
  </si>
  <si>
    <t>Requires voice VLAN config</t>
  </si>
  <si>
    <t>Gi1/0/1-Gi1/0/24</t>
  </si>
  <si>
    <t>Office/test endpoints</t>
  </si>
  <si>
    <t>Client access</t>
  </si>
  <si>
    <t>Phase 2</t>
  </si>
  <si>
    <t>Gi1/0/25-Gi1/0/36</t>
  </si>
  <si>
    <t>IP phone + PC</t>
  </si>
  <si>
    <t>Voice access</t>
  </si>
  <si>
    <t>Gi1/0/37-Gi1/0/48</t>
  </si>
  <si>
    <t>50</t>
  </si>
  <si>
    <t>Temporary devices</t>
  </si>
  <si>
    <t>Wi-Fi/IoT/temp</t>
  </si>
  <si>
    <t>30 or 50</t>
  </si>
  <si>
    <t>Lab/temp devices</t>
  </si>
  <si>
    <t>Flexible spare block</t>
  </si>
  <si>
    <t>Label before use</t>
  </si>
  <si>
    <t>Config Checklist</t>
  </si>
  <si>
    <t>把 Status 当现场配置进度用；强密码、真实 SNMP、NTP、备份策略后续再补。</t>
  </si>
  <si>
    <t>Area</t>
  </si>
  <si>
    <t>Task</t>
  </si>
  <si>
    <t>Command / Target</t>
  </si>
  <si>
    <t>Base identity</t>
  </si>
  <si>
    <t>Set hostname</t>
  </si>
  <si>
    <t>hostname PIR-LAB-CORE77-2</t>
  </si>
  <si>
    <t>Use hyphen form if IOS rejects dot in hostname</t>
  </si>
  <si>
    <t>Management</t>
  </si>
  <si>
    <t>Configure management IP</t>
  </si>
  <si>
    <t>VLAN 77 / management interface -&gt; 192.168.77.2/24; gateway 192.168.77.1</t>
  </si>
  <si>
    <t>Use interface VLAN 77 for switches; routed interface for routers</t>
  </si>
  <si>
    <t>Security</t>
  </si>
  <si>
    <t>Create local admin and enable remote access</t>
  </si>
  <si>
    <t>username admin privilege 15 secret &lt;strong-password&gt;; transport input ssh telnet</t>
  </si>
  <si>
    <t>Prefer SSH once crypto keys are set</t>
  </si>
  <si>
    <t>Save</t>
  </si>
  <si>
    <t>Save config</t>
  </si>
  <si>
    <t>write memory</t>
  </si>
  <si>
    <t>Record final running-config backup later</t>
  </si>
  <si>
    <t>hostname PIR-LAB-DIST77-3</t>
  </si>
  <si>
    <t>VLAN 77 / management interface -&gt; 192.168.77.3/24; gateway 192.168.77.1</t>
  </si>
  <si>
    <t>hostname PIR-LAB-DIST77-4</t>
  </si>
  <si>
    <t>VLAN 77 / management interface -&gt; 192.168.77.4/24; gateway 192.168.77.1</t>
  </si>
  <si>
    <t>hostname PIR-LAB-ACC77-5</t>
  </si>
  <si>
    <t>VLAN 77 / management interface -&gt; 192.168.77.5/24; gateway 192.168.77.1</t>
  </si>
  <si>
    <t>hostname PIR-LAB-ACC77-6</t>
  </si>
  <si>
    <t>VLAN 77 / management interface -&gt; 192.168.77.6/24; gateway 192.168.77.1</t>
  </si>
  <si>
    <t>hostname PIR-LAB-RTR77-11</t>
  </si>
  <si>
    <t>VLAN 77 / management interface -&gt; 192.168.77.11/24; gateway 192.168.77.1</t>
  </si>
  <si>
    <t>hostname PIR-LAB-RTR77-12</t>
  </si>
  <si>
    <t>VLAN 77 / management interface -&gt; 192.168.77.12/24; gateway 192.168.77.1</t>
  </si>
  <si>
    <t>hostname PIR-LAB-VGW77-13</t>
  </si>
  <si>
    <t>VLAN 77 / management interface -&gt; 192.168.77.13/24; gateway 192.168.77.1</t>
  </si>
  <si>
    <t>DHCP</t>
  </si>
  <si>
    <t>Restrict DHCP scope</t>
  </si>
  <si>
    <t>Serve 192.168.77.100-192.168.77.199 only</t>
  </si>
  <si>
    <t>Keep .1-.99 static for infrastructure</t>
  </si>
  <si>
    <t>Server IP</t>
  </si>
  <si>
    <t>Set static CUCM address</t>
  </si>
  <si>
    <t>192.168.77.20/24 gw 192.168.77.1 dns 192.168.77.1</t>
  </si>
  <si>
    <t>Set NTP before voice testing</t>
  </si>
  <si>
    <t>TraceEveryLink Import</t>
  </si>
  <si>
    <t>这张可用于和系统里的 planned cables 对照，现场确认后同步改为 confirmed。</t>
  </si>
  <si>
    <t>Labels</t>
  </si>
  <si>
    <t>可复制 Label Text 到标签机模板；线缆标签建议两端都贴。</t>
  </si>
  <si>
    <t>Label Type</t>
  </si>
  <si>
    <t>Item ID</t>
  </si>
  <si>
    <t>Label Text</t>
  </si>
  <si>
    <t>Print / Color Notes</t>
  </si>
  <si>
    <t>PIR-LAB-GW77.1
192.168.77.1
Gateway</t>
  </si>
  <si>
    <t>Print device label</t>
  </si>
  <si>
    <t>PIR-LAB-CORE77.2
192.168.77.2
Core switch</t>
  </si>
  <si>
    <t>PIR-LAB-DIST77.3
192.168.77.3
Distribution switch</t>
  </si>
  <si>
    <t>PIR-LAB-DIST77.4
192.168.77.4
Distribution switch</t>
  </si>
  <si>
    <t>PIR-LAB-ACC77.5
192.168.77.5
Access switch</t>
  </si>
  <si>
    <t>PIR-LAB-ACC77.6
192.168.77.6
Access switch</t>
  </si>
  <si>
    <t>PIR-LAB-RTR77.11
192.168.77.11
Router</t>
  </si>
  <si>
    <t>PIR-LAB-RTR77.12
192.168.77.12
Router</t>
  </si>
  <si>
    <t>PIR-LAB-VGW77.13
192.168.77.13
Voice gateway</t>
  </si>
  <si>
    <t>PIR-LAB-CUCM77.20
192.168.77.20
CUCM server</t>
  </si>
  <si>
    <t>Cable</t>
  </si>
  <si>
    <t>CBL-PIR-GW77-1-CORE77-2
PIR-LAB-GW77.1 lan1
TO PIR-LAB-CORE77.2 Gi1/0/48</t>
  </si>
  <si>
    <t>CBL-PIR-CORE77-2-DIST77-3
PIR-LAB-CORE77.2 Gi1/0/49
TO PIR-LAB-DIST77.3 Gi0/49</t>
  </si>
  <si>
    <t>CBL-PIR-CORE77-2-DIST77-4
PIR-LAB-CORE77.2 Gi1/0/50
TO PIR-LAB-DIST77.4 Gi0/1</t>
  </si>
  <si>
    <t>CBL-PIR-CORE77-2-ACC77-5
PIR-LAB-CORE77.2 Gi1/0/51
TO PIR-LAB-ACC77.5 Gi1/0/49</t>
  </si>
  <si>
    <t>CBL-PIR-CORE77-2-ACC77-6
PIR-LAB-CORE77.2 Gi1/0/52
TO PIR-LAB-ACC77.6 Gi1/0/49</t>
  </si>
  <si>
    <t>CBL-PIR-CORE77-2-RTR77-11
PIR-LAB-CORE77.2 Gi1/0/11
TO PIR-LAB-RTR77.11 Gi0/0</t>
  </si>
  <si>
    <t>CBL-PIR-CORE77-2-RTR77-12
PIR-LAB-CORE77.2 Gi1/0/12
TO PIR-LAB-RTR77.12 Fa0/0</t>
  </si>
  <si>
    <t>CBL-PIR-CORE77-2-VGW77-13
PIR-LAB-CORE77.2 Gi1/0/13
TO PIR-LAB-VGW77.13 Fa0/0</t>
  </si>
  <si>
    <t>CBL-PIR-CORE77-2-CUCM77-20
PIR-LAB-CORE77.2 Gi1/0/20
TO PIR-LAB-CUCM77.20 eth0</t>
  </si>
  <si>
    <t>PIR-LAB-RTR77.6</t>
  </si>
  <si>
    <t>PIR-LAB-RTR77.7</t>
  </si>
  <si>
    <t>PIR-LAB-RTR77.5</t>
  </si>
  <si>
    <t>PIR-LAB-ACC77.4</t>
  </si>
  <si>
    <t>PIR-LAB-ACC77.3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</si>
</sst>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sz val="9"/>
      <color rgb="FF475569"/>
      <name val="Calibri"/>
      <family val="2"/>
    </font>
    <font>
      <b/>
      <sz val="11"/>
      <color rgb="FF111827"/>
      <name val="Calibri"/>
      <family val="2"/>
    </font>
    <font>
      <sz val="10"/>
      <color rgb="FF111827"/>
      <name val="Calibri"/>
      <family val="2"/>
    </font>
    <font>
      <b/>
      <sz val="15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EAF2FF"/>
      </patternFill>
    </fill>
    <fill>
      <patternFill patternType="solid">
        <fgColor rgb="FFD8E7FF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3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2" fillId="3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4" fillId="5" borderId="1" xfId="0" applyFont="1" applyFill="1" applyBorder="1" applyAlignment="1">
      <alignment vertical="top" wrapText="1"/>
    </xf>
  </cellXfs>
  <cellStyles count="1">
    <cellStyle name="Normal" xfId="0" builtinId="0"/>
  </cellStyles>
  <dxfs count="4">
    <dxf>
      <fill>
        <patternFill patternType="solid">
          <fgColor rgb="FFFEF3C7"/>
        </patternFill>
      </fill>
    </dxf>
    <dxf>
      <fill>
        <patternFill patternType="solid">
          <fgColor rgb="FFE5E7EB"/>
        </patternFill>
      </fill>
    </dxf>
    <dxf>
      <fill>
        <patternFill patternType="solid">
          <fgColor rgb="FFFEE2E2"/>
        </patternFill>
      </fill>
    </dxf>
    <dxf>
      <fill>
        <patternFill patternType="solid">
          <fgColor rgb="FFDCFCE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Patch status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Summary!$D$9:$D$13</c:f>
              <c:strCache>
                <c:ptCount val="5"/>
                <c:pt idx="0">
                  <c:v>Planned</c:v>
                </c:pt>
                <c:pt idx="1">
                  <c:v>In Progress</c:v>
                </c:pt>
                <c:pt idx="2">
                  <c:v>Confirmed</c:v>
                </c:pt>
                <c:pt idx="3">
                  <c:v>Needs Check</c:v>
                </c:pt>
                <c:pt idx="4">
                  <c:v>Retired</c:v>
                </c:pt>
              </c:strCache>
            </c:strRef>
          </c:cat>
          <c:val>
            <c:numRef>
              <c:f>Summary!$E$9:$E$13</c:f>
              <c:numCache>
                <c:formatCode>General</c:formatCode>
                <c:ptCount val="5"/>
                <c:pt idx="0">
                  <c:v>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E9-4BE6-8F5E-27ADE82A61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Status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2</xdr:row>
      <xdr:rowOff>0</xdr:rowOff>
    </xdr:from>
    <xdr:ext cx="3600000" cy="21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3"/>
  <sheetViews>
    <sheetView showGridLines="0" zoomScale="145" zoomScaleNormal="145" workbookViewId="0">
      <pane ySplit="7" topLeftCell="A11" activePane="bottomLeft" state="frozen"/>
      <selection pane="bottomLeft" activeCell="E20" sqref="E20"/>
    </sheetView>
  </sheetViews>
  <sheetFormatPr defaultRowHeight="14.4" x14ac:dyDescent="0.3"/>
  <cols>
    <col min="1" max="1" width="26" customWidth="1"/>
    <col min="2" max="2" width="32" customWidth="1"/>
    <col min="3" max="3" width="4" customWidth="1"/>
    <col min="4" max="4" width="18" customWidth="1"/>
    <col min="5" max="5" width="14" customWidth="1"/>
    <col min="6" max="6" width="4" customWidth="1"/>
  </cols>
  <sheetData>
    <row r="1" spans="1:6" ht="25.95" customHeight="1" x14ac:dyDescent="0.3">
      <c r="A1" s="5" t="s">
        <v>0</v>
      </c>
      <c r="B1" s="6"/>
      <c r="C1" s="6"/>
      <c r="D1" s="6"/>
      <c r="E1" s="6"/>
      <c r="F1" s="6"/>
    </row>
    <row r="2" spans="1:6" x14ac:dyDescent="0.3">
      <c r="A2" s="1" t="s">
        <v>1</v>
      </c>
      <c r="B2" s="2" t="s">
        <v>2</v>
      </c>
      <c r="C2" s="2"/>
      <c r="D2" s="1"/>
      <c r="E2" s="2"/>
      <c r="F2" s="2"/>
    </row>
    <row r="3" spans="1:6" x14ac:dyDescent="0.3">
      <c r="A3" s="1" t="s">
        <v>3</v>
      </c>
      <c r="B3" s="2" t="s">
        <v>4</v>
      </c>
      <c r="C3" s="2"/>
      <c r="D3" s="1"/>
      <c r="E3" s="2"/>
      <c r="F3" s="2"/>
    </row>
    <row r="4" spans="1:6" x14ac:dyDescent="0.3">
      <c r="A4" s="1" t="s">
        <v>5</v>
      </c>
      <c r="B4" s="2" t="s">
        <v>6</v>
      </c>
      <c r="C4" s="2"/>
      <c r="D4" s="1"/>
      <c r="E4" s="2"/>
      <c r="F4" s="2"/>
    </row>
    <row r="5" spans="1:6" x14ac:dyDescent="0.3">
      <c r="A5" s="1" t="s">
        <v>7</v>
      </c>
      <c r="B5" s="2" t="s">
        <v>8</v>
      </c>
      <c r="C5" s="2"/>
      <c r="D5" s="1"/>
      <c r="E5" s="2"/>
      <c r="F5" s="2"/>
    </row>
    <row r="6" spans="1:6" x14ac:dyDescent="0.3">
      <c r="A6" s="1" t="s">
        <v>9</v>
      </c>
      <c r="B6" s="2" t="s">
        <v>10</v>
      </c>
      <c r="C6" s="2"/>
      <c r="D6" s="1"/>
      <c r="E6" s="2"/>
      <c r="F6" s="2"/>
    </row>
    <row r="7" spans="1:6" x14ac:dyDescent="0.3">
      <c r="A7" s="1"/>
      <c r="B7" s="2"/>
      <c r="C7" s="2"/>
      <c r="D7" s="1"/>
      <c r="E7" s="2"/>
      <c r="F7" s="2"/>
    </row>
    <row r="8" spans="1:6" x14ac:dyDescent="0.3">
      <c r="A8" s="3" t="s">
        <v>11</v>
      </c>
      <c r="B8" s="3" t="s">
        <v>12</v>
      </c>
      <c r="C8" s="3"/>
      <c r="D8" s="3" t="s">
        <v>13</v>
      </c>
      <c r="E8" s="3" t="s">
        <v>14</v>
      </c>
      <c r="F8" s="3"/>
    </row>
    <row r="9" spans="1:6" x14ac:dyDescent="0.3">
      <c r="A9" s="1" t="s">
        <v>15</v>
      </c>
      <c r="B9" s="2">
        <v>10</v>
      </c>
      <c r="C9" s="2"/>
      <c r="D9" s="1" t="s">
        <v>16</v>
      </c>
      <c r="E9" s="2">
        <f>COUNTIF('Patch Plan'!C:C,"Planned")</f>
        <v>8</v>
      </c>
      <c r="F9" s="2"/>
    </row>
    <row r="10" spans="1:6" x14ac:dyDescent="0.3">
      <c r="A10" s="1" t="s">
        <v>17</v>
      </c>
      <c r="B10" s="2">
        <v>6</v>
      </c>
      <c r="C10" s="2"/>
      <c r="D10" s="1" t="s">
        <v>18</v>
      </c>
      <c r="E10" s="2">
        <f>COUNTIF('Patch Plan'!C:C,"In Progress")</f>
        <v>0</v>
      </c>
      <c r="F10" s="2"/>
    </row>
    <row r="11" spans="1:6" x14ac:dyDescent="0.3">
      <c r="A11" s="1" t="s">
        <v>19</v>
      </c>
      <c r="B11" s="2">
        <v>9</v>
      </c>
      <c r="C11" s="2"/>
      <c r="D11" s="1" t="s">
        <v>20</v>
      </c>
      <c r="E11" s="2">
        <f>COUNTIF('Patch Plan'!C:C,"Confirmed")</f>
        <v>0</v>
      </c>
      <c r="F11" s="2"/>
    </row>
    <row r="12" spans="1:6" x14ac:dyDescent="0.3">
      <c r="A12" s="1" t="s">
        <v>21</v>
      </c>
      <c r="B12" s="2" t="s">
        <v>22</v>
      </c>
      <c r="C12" s="2"/>
      <c r="D12" s="1" t="s">
        <v>23</v>
      </c>
      <c r="E12" s="2">
        <f>COUNTIF('Patch Plan'!C:C,"Needs Check")</f>
        <v>0</v>
      </c>
      <c r="F12" s="2"/>
    </row>
    <row r="13" spans="1:6" x14ac:dyDescent="0.3">
      <c r="A13" s="1" t="s">
        <v>24</v>
      </c>
      <c r="B13" s="2" t="s">
        <v>25</v>
      </c>
      <c r="C13" s="2"/>
      <c r="D13" s="1" t="s">
        <v>26</v>
      </c>
      <c r="E13" s="2">
        <f>COUNTIF('Patch Plan'!C:C,"Retired")</f>
        <v>0</v>
      </c>
      <c r="F13" s="2"/>
    </row>
  </sheetData>
  <mergeCells count="1">
    <mergeCell ref="A1:F1"/>
  </mergeCells>
  <pageMargins left="0.75" right="0.75" top="1" bottom="1" header="0.5" footer="0.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11"/>
  <sheetViews>
    <sheetView showGridLines="0" tabSelected="1" zoomScale="130" zoomScaleNormal="130" workbookViewId="0">
      <pane ySplit="3" topLeftCell="A4" activePane="bottomLeft" state="frozen"/>
      <selection pane="bottomLeft" activeCell="I23" sqref="I23"/>
    </sheetView>
  </sheetViews>
  <sheetFormatPr defaultRowHeight="14.4" x14ac:dyDescent="0.3"/>
  <cols>
    <col min="1" max="1" width="10" customWidth="1"/>
    <col min="2" max="2" width="28" customWidth="1"/>
    <col min="3" max="3" width="10" customWidth="1"/>
    <col min="4" max="4" width="18" customWidth="1"/>
    <col min="5" max="5" width="11" customWidth="1"/>
    <col min="6" max="6" width="19" customWidth="1"/>
    <col min="7" max="7" width="10" customWidth="1"/>
    <col min="8" max="8" width="11" customWidth="1"/>
    <col min="9" max="9" width="10" customWidth="1"/>
    <col min="10" max="10" width="42" customWidth="1"/>
    <col min="11" max="11" width="31" customWidth="1"/>
    <col min="12" max="12" width="42" customWidth="1"/>
    <col min="13" max="13" width="41" customWidth="1"/>
  </cols>
  <sheetData>
    <row r="1" spans="1:13" ht="24" customHeight="1" x14ac:dyDescent="0.3">
      <c r="A1" s="8" t="s">
        <v>27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ht="31.95" customHeight="1" x14ac:dyDescent="0.3">
      <c r="A2" s="7" t="s">
        <v>28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x14ac:dyDescent="0.3">
      <c r="A3" s="4" t="s">
        <v>29</v>
      </c>
      <c r="B3" s="4" t="s">
        <v>30</v>
      </c>
      <c r="C3" s="4" t="s">
        <v>13</v>
      </c>
      <c r="D3" s="4" t="s">
        <v>31</v>
      </c>
      <c r="E3" s="4" t="s">
        <v>32</v>
      </c>
      <c r="F3" s="4" t="s">
        <v>33</v>
      </c>
      <c r="G3" s="4" t="s">
        <v>34</v>
      </c>
      <c r="H3" s="4" t="s">
        <v>35</v>
      </c>
      <c r="I3" s="4" t="s">
        <v>36</v>
      </c>
      <c r="J3" s="4" t="s">
        <v>37</v>
      </c>
      <c r="K3" s="4" t="s">
        <v>38</v>
      </c>
      <c r="L3" s="4" t="s">
        <v>39</v>
      </c>
      <c r="M3" s="4" t="s">
        <v>40</v>
      </c>
    </row>
    <row r="4" spans="1:13" ht="27.6" x14ac:dyDescent="0.3">
      <c r="A4" s="2"/>
      <c r="B4" s="9" t="s">
        <v>22</v>
      </c>
      <c r="C4" s="2" t="s">
        <v>16</v>
      </c>
      <c r="D4" s="2" t="s">
        <v>42</v>
      </c>
      <c r="E4" s="2"/>
      <c r="F4" s="2"/>
      <c r="G4" s="2"/>
      <c r="H4" s="2" t="s">
        <v>45</v>
      </c>
      <c r="I4" s="2" t="s">
        <v>46</v>
      </c>
      <c r="J4" s="2"/>
      <c r="K4" s="2" t="s">
        <v>48</v>
      </c>
      <c r="L4" s="2" t="s">
        <v>49</v>
      </c>
      <c r="M4" s="2" t="s">
        <v>50</v>
      </c>
    </row>
    <row r="5" spans="1:13" x14ac:dyDescent="0.3">
      <c r="A5" s="2"/>
      <c r="B5" s="2" t="s">
        <v>365</v>
      </c>
      <c r="C5" s="2" t="s">
        <v>16</v>
      </c>
      <c r="D5" s="2" t="s">
        <v>22</v>
      </c>
      <c r="E5" s="2"/>
      <c r="F5" s="2"/>
      <c r="G5" s="2"/>
      <c r="H5" s="2" t="s">
        <v>55</v>
      </c>
      <c r="I5" s="2" t="s">
        <v>56</v>
      </c>
      <c r="J5" s="2"/>
      <c r="K5" s="2" t="s">
        <v>68</v>
      </c>
      <c r="L5" s="2" t="s">
        <v>59</v>
      </c>
      <c r="M5" s="2" t="s">
        <v>69</v>
      </c>
    </row>
    <row r="6" spans="1:13" x14ac:dyDescent="0.3">
      <c r="A6" s="2"/>
      <c r="B6" s="9" t="s">
        <v>364</v>
      </c>
      <c r="C6" s="2" t="s">
        <v>16</v>
      </c>
      <c r="D6" s="2" t="s">
        <v>22</v>
      </c>
      <c r="E6" s="2"/>
      <c r="F6" s="2"/>
      <c r="G6" s="2"/>
      <c r="H6" s="2" t="s">
        <v>55</v>
      </c>
      <c r="I6" s="2" t="s">
        <v>56</v>
      </c>
      <c r="J6" s="2"/>
      <c r="K6" s="2" t="s">
        <v>73</v>
      </c>
      <c r="L6" s="2" t="s">
        <v>59</v>
      </c>
      <c r="M6" s="2" t="s">
        <v>74</v>
      </c>
    </row>
    <row r="7" spans="1:13" x14ac:dyDescent="0.3">
      <c r="A7" s="2"/>
      <c r="B7" s="2" t="s">
        <v>363</v>
      </c>
      <c r="C7" s="2" t="s">
        <v>16</v>
      </c>
      <c r="D7" s="2" t="s">
        <v>22</v>
      </c>
      <c r="E7" s="2"/>
      <c r="F7" s="2"/>
      <c r="G7" s="2"/>
      <c r="H7" s="2" t="s">
        <v>45</v>
      </c>
      <c r="I7" s="2" t="s">
        <v>79</v>
      </c>
      <c r="J7" s="2"/>
      <c r="K7" s="2" t="s">
        <v>81</v>
      </c>
      <c r="L7" s="2" t="s">
        <v>82</v>
      </c>
      <c r="M7" s="2" t="s">
        <v>83</v>
      </c>
    </row>
    <row r="8" spans="1:13" x14ac:dyDescent="0.3">
      <c r="A8" s="2"/>
      <c r="B8" s="9" t="s">
        <v>361</v>
      </c>
      <c r="C8" s="2" t="s">
        <v>16</v>
      </c>
      <c r="D8" s="2" t="s">
        <v>22</v>
      </c>
      <c r="E8" s="2"/>
      <c r="F8" s="2"/>
      <c r="G8" s="2"/>
      <c r="H8" s="2" t="s">
        <v>45</v>
      </c>
      <c r="I8" s="2" t="s">
        <v>79</v>
      </c>
      <c r="J8" s="2"/>
      <c r="K8" s="2" t="s">
        <v>88</v>
      </c>
      <c r="L8" s="2" t="s">
        <v>89</v>
      </c>
      <c r="M8" s="2" t="s">
        <v>90</v>
      </c>
    </row>
    <row r="9" spans="1:13" x14ac:dyDescent="0.3">
      <c r="A9" s="2"/>
      <c r="B9" s="9" t="s">
        <v>362</v>
      </c>
      <c r="C9" s="2" t="s">
        <v>16</v>
      </c>
      <c r="D9" s="2" t="s">
        <v>22</v>
      </c>
      <c r="E9" s="2"/>
      <c r="F9" s="2"/>
      <c r="G9" s="2"/>
      <c r="H9" s="2"/>
      <c r="I9" s="2"/>
      <c r="J9" s="2"/>
      <c r="K9" s="2"/>
      <c r="L9" s="2"/>
      <c r="M9" s="2"/>
    </row>
    <row r="10" spans="1:13" x14ac:dyDescent="0.3">
      <c r="A10" s="2"/>
      <c r="B10" s="2" t="s">
        <v>91</v>
      </c>
      <c r="C10" s="2" t="s">
        <v>16</v>
      </c>
      <c r="D10" s="2" t="s">
        <v>22</v>
      </c>
      <c r="E10" s="2" t="s">
        <v>92</v>
      </c>
      <c r="F10" s="2" t="s">
        <v>93</v>
      </c>
      <c r="G10" s="2" t="s">
        <v>87</v>
      </c>
      <c r="H10" s="2" t="s">
        <v>45</v>
      </c>
      <c r="I10" s="2" t="s">
        <v>79</v>
      </c>
      <c r="J10" s="2"/>
      <c r="K10" s="2" t="s">
        <v>94</v>
      </c>
      <c r="L10" s="2" t="s">
        <v>95</v>
      </c>
      <c r="M10" s="2" t="s">
        <v>96</v>
      </c>
    </row>
    <row r="11" spans="1:13" x14ac:dyDescent="0.3">
      <c r="A11" s="2"/>
      <c r="B11" s="2" t="s">
        <v>97</v>
      </c>
      <c r="C11" s="2" t="s">
        <v>16</v>
      </c>
      <c r="D11" s="2" t="s">
        <v>22</v>
      </c>
      <c r="E11" s="2" t="s">
        <v>98</v>
      </c>
      <c r="F11" s="2" t="s">
        <v>99</v>
      </c>
      <c r="G11" s="2" t="s">
        <v>100</v>
      </c>
      <c r="H11" s="2" t="s">
        <v>45</v>
      </c>
      <c r="I11" s="2" t="s">
        <v>101</v>
      </c>
      <c r="J11" s="2"/>
      <c r="K11" s="2" t="s">
        <v>103</v>
      </c>
      <c r="L11" s="2" t="s">
        <v>104</v>
      </c>
      <c r="M11" s="2" t="s">
        <v>105</v>
      </c>
    </row>
  </sheetData>
  <autoFilter ref="A3:M11" xr:uid="{00000000-0009-0000-0000-000001000000}"/>
  <mergeCells count="2">
    <mergeCell ref="A2:M2"/>
    <mergeCell ref="A1:M1"/>
  </mergeCells>
  <conditionalFormatting sqref="A4:M11">
    <cfRule type="expression" dxfId="3" priority="1">
      <formula>$C4="Confirmed"</formula>
    </cfRule>
    <cfRule type="expression" dxfId="2" priority="2">
      <formula>$C4="Needs Check"</formula>
    </cfRule>
    <cfRule type="expression" dxfId="1" priority="3">
      <formula>$C4="Retired"</formula>
    </cfRule>
    <cfRule type="expression" dxfId="0" priority="4">
      <formula>$C4="Planned"</formula>
    </cfRule>
  </conditionalFormatting>
  <dataValidations count="1">
    <dataValidation type="list" sqref="C4:C11" xr:uid="{00000000-0002-0000-0100-000000000000}">
      <formula1>"Planned,In Progress,Confirmed,Needs Check,Retired"</formula1>
    </dataValidation>
  </dataValidations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13"/>
  <sheetViews>
    <sheetView showGridLines="0" zoomScale="130" zoomScaleNormal="130" workbookViewId="0">
      <pane ySplit="3" topLeftCell="A4" activePane="bottomLeft" state="frozen"/>
      <selection pane="bottomLeft" activeCell="F21" sqref="F21"/>
    </sheetView>
  </sheetViews>
  <sheetFormatPr defaultRowHeight="14.4" x14ac:dyDescent="0.3"/>
  <cols>
    <col min="1" max="3" width="21" customWidth="1"/>
    <col min="4" max="4" width="15" customWidth="1"/>
    <col min="5" max="5" width="10" customWidth="1"/>
    <col min="6" max="6" width="19" customWidth="1"/>
    <col min="7" max="7" width="21" customWidth="1"/>
    <col min="8" max="8" width="12" customWidth="1"/>
    <col min="9" max="9" width="26" customWidth="1"/>
    <col min="10" max="10" width="42" customWidth="1"/>
  </cols>
  <sheetData>
    <row r="1" spans="1:10" ht="24" customHeight="1" x14ac:dyDescent="0.3">
      <c r="A1" s="8" t="s">
        <v>106</v>
      </c>
      <c r="B1" s="6"/>
      <c r="C1" s="6"/>
      <c r="D1" s="6"/>
      <c r="E1" s="6"/>
      <c r="F1" s="6"/>
      <c r="G1" s="6"/>
      <c r="H1" s="6"/>
      <c r="I1" s="6"/>
      <c r="J1" s="6"/>
    </row>
    <row r="2" spans="1:10" ht="31.95" customHeight="1" x14ac:dyDescent="0.3">
      <c r="A2" s="7" t="s">
        <v>107</v>
      </c>
      <c r="B2" s="6"/>
      <c r="C2" s="6"/>
      <c r="D2" s="6"/>
      <c r="E2" s="6"/>
      <c r="F2" s="6"/>
      <c r="G2" s="6"/>
      <c r="H2" s="6"/>
      <c r="I2" s="6"/>
      <c r="J2" s="6"/>
    </row>
    <row r="3" spans="1:10" x14ac:dyDescent="0.3">
      <c r="A3" s="4" t="s">
        <v>108</v>
      </c>
      <c r="B3" s="4" t="s">
        <v>109</v>
      </c>
      <c r="C3" s="4" t="s">
        <v>110</v>
      </c>
      <c r="D3" s="4" t="s">
        <v>111</v>
      </c>
      <c r="E3" s="4" t="s">
        <v>112</v>
      </c>
      <c r="F3" s="4" t="s">
        <v>113</v>
      </c>
      <c r="G3" s="4" t="s">
        <v>114</v>
      </c>
      <c r="H3" s="4" t="s">
        <v>115</v>
      </c>
      <c r="I3" s="4" t="s">
        <v>38</v>
      </c>
      <c r="J3" s="4" t="s">
        <v>40</v>
      </c>
    </row>
    <row r="4" spans="1:10" x14ac:dyDescent="0.3">
      <c r="A4" s="2" t="s">
        <v>5</v>
      </c>
      <c r="B4" s="2" t="s">
        <v>42</v>
      </c>
      <c r="C4" s="2" t="s">
        <v>116</v>
      </c>
      <c r="D4" s="2" t="s">
        <v>25</v>
      </c>
      <c r="E4" s="2" t="s">
        <v>117</v>
      </c>
      <c r="F4" s="2" t="s">
        <v>118</v>
      </c>
      <c r="G4" s="2" t="s">
        <v>119</v>
      </c>
      <c r="H4" s="2"/>
      <c r="I4" s="2" t="s">
        <v>120</v>
      </c>
      <c r="J4" s="2" t="s">
        <v>121</v>
      </c>
    </row>
    <row r="5" spans="1:10" x14ac:dyDescent="0.3">
      <c r="A5" s="2" t="s">
        <v>21</v>
      </c>
      <c r="B5" s="2" t="s">
        <v>22</v>
      </c>
      <c r="C5" s="2" t="s">
        <v>122</v>
      </c>
      <c r="D5" s="2" t="s">
        <v>123</v>
      </c>
      <c r="E5" s="2" t="s">
        <v>124</v>
      </c>
      <c r="F5" s="2" t="s">
        <v>125</v>
      </c>
      <c r="G5" s="2" t="s">
        <v>126</v>
      </c>
      <c r="H5" s="2" t="s">
        <v>127</v>
      </c>
      <c r="I5" s="2" t="s">
        <v>128</v>
      </c>
      <c r="J5" s="2" t="s">
        <v>129</v>
      </c>
    </row>
    <row r="6" spans="1:10" x14ac:dyDescent="0.3">
      <c r="A6" s="2" t="s">
        <v>130</v>
      </c>
      <c r="B6" s="2" t="s">
        <v>53</v>
      </c>
      <c r="C6" s="2" t="s">
        <v>131</v>
      </c>
      <c r="D6" s="2" t="s">
        <v>132</v>
      </c>
      <c r="E6" s="2" t="s">
        <v>124</v>
      </c>
      <c r="F6" s="2" t="s">
        <v>133</v>
      </c>
      <c r="G6" s="2" t="s">
        <v>126</v>
      </c>
      <c r="H6" s="2" t="s">
        <v>134</v>
      </c>
      <c r="I6" s="2" t="s">
        <v>135</v>
      </c>
      <c r="J6" s="2" t="s">
        <v>136</v>
      </c>
    </row>
    <row r="7" spans="1:10" x14ac:dyDescent="0.3">
      <c r="A7" s="2" t="s">
        <v>130</v>
      </c>
      <c r="B7" s="2" t="s">
        <v>62</v>
      </c>
      <c r="C7" s="2" t="s">
        <v>137</v>
      </c>
      <c r="D7" s="2" t="s">
        <v>138</v>
      </c>
      <c r="E7" s="2" t="s">
        <v>124</v>
      </c>
      <c r="F7" s="2" t="s">
        <v>139</v>
      </c>
      <c r="G7" s="2" t="s">
        <v>126</v>
      </c>
      <c r="H7" s="2" t="s">
        <v>140</v>
      </c>
      <c r="I7" s="2" t="s">
        <v>141</v>
      </c>
      <c r="J7" s="2" t="s">
        <v>142</v>
      </c>
    </row>
    <row r="8" spans="1:10" x14ac:dyDescent="0.3">
      <c r="A8" s="2" t="s">
        <v>143</v>
      </c>
      <c r="B8" s="2" t="s">
        <v>67</v>
      </c>
      <c r="C8" s="2" t="s">
        <v>144</v>
      </c>
      <c r="D8" s="2" t="s">
        <v>145</v>
      </c>
      <c r="E8" s="2" t="s">
        <v>124</v>
      </c>
      <c r="F8" s="2" t="s">
        <v>146</v>
      </c>
      <c r="G8" s="2" t="s">
        <v>126</v>
      </c>
      <c r="H8" s="2" t="s">
        <v>147</v>
      </c>
      <c r="I8" s="2" t="s">
        <v>148</v>
      </c>
      <c r="J8" s="2" t="s">
        <v>149</v>
      </c>
    </row>
    <row r="9" spans="1:10" x14ac:dyDescent="0.3">
      <c r="A9" s="2" t="s">
        <v>143</v>
      </c>
      <c r="B9" s="2" t="s">
        <v>72</v>
      </c>
      <c r="C9" s="2" t="s">
        <v>150</v>
      </c>
      <c r="D9" s="2" t="s">
        <v>151</v>
      </c>
      <c r="E9" s="2" t="s">
        <v>124</v>
      </c>
      <c r="F9" s="2" t="s">
        <v>146</v>
      </c>
      <c r="G9" s="2" t="s">
        <v>126</v>
      </c>
      <c r="H9" s="2" t="s">
        <v>152</v>
      </c>
      <c r="I9" s="2" t="s">
        <v>153</v>
      </c>
      <c r="J9" s="2" t="s">
        <v>154</v>
      </c>
    </row>
    <row r="10" spans="1:10" x14ac:dyDescent="0.3">
      <c r="A10" s="2" t="s">
        <v>155</v>
      </c>
      <c r="B10" s="2" t="s">
        <v>77</v>
      </c>
      <c r="C10" s="2" t="s">
        <v>156</v>
      </c>
      <c r="D10" s="2" t="s">
        <v>157</v>
      </c>
      <c r="E10" s="2" t="s">
        <v>124</v>
      </c>
      <c r="F10" s="2" t="s">
        <v>158</v>
      </c>
      <c r="G10" s="2" t="s">
        <v>126</v>
      </c>
      <c r="H10" s="2" t="s">
        <v>159</v>
      </c>
      <c r="I10" s="2" t="s">
        <v>160</v>
      </c>
      <c r="J10" s="2" t="s">
        <v>161</v>
      </c>
    </row>
    <row r="11" spans="1:10" x14ac:dyDescent="0.3">
      <c r="A11" s="2" t="s">
        <v>155</v>
      </c>
      <c r="B11" s="2" t="s">
        <v>86</v>
      </c>
      <c r="C11" s="2" t="s">
        <v>162</v>
      </c>
      <c r="D11" s="2" t="s">
        <v>163</v>
      </c>
      <c r="E11" s="2" t="s">
        <v>124</v>
      </c>
      <c r="F11" s="2" t="s">
        <v>164</v>
      </c>
      <c r="G11" s="2" t="s">
        <v>126</v>
      </c>
      <c r="H11" s="2" t="s">
        <v>165</v>
      </c>
      <c r="I11" s="2" t="s">
        <v>160</v>
      </c>
      <c r="J11" s="2" t="s">
        <v>166</v>
      </c>
    </row>
    <row r="12" spans="1:10" x14ac:dyDescent="0.3">
      <c r="A12" s="2" t="s">
        <v>167</v>
      </c>
      <c r="B12" s="2" t="s">
        <v>93</v>
      </c>
      <c r="C12" s="2" t="s">
        <v>168</v>
      </c>
      <c r="D12" s="2" t="s">
        <v>169</v>
      </c>
      <c r="E12" s="2" t="s">
        <v>124</v>
      </c>
      <c r="F12" s="2" t="s">
        <v>164</v>
      </c>
      <c r="G12" s="2" t="s">
        <v>126</v>
      </c>
      <c r="H12" s="2" t="s">
        <v>170</v>
      </c>
      <c r="I12" s="2" t="s">
        <v>171</v>
      </c>
      <c r="J12" s="2" t="s">
        <v>172</v>
      </c>
    </row>
    <row r="13" spans="1:10" ht="27.6" x14ac:dyDescent="0.3">
      <c r="A13" s="2" t="s">
        <v>173</v>
      </c>
      <c r="B13" s="2" t="s">
        <v>99</v>
      </c>
      <c r="C13" s="2" t="s">
        <v>174</v>
      </c>
      <c r="D13" s="2" t="s">
        <v>175</v>
      </c>
      <c r="E13" s="2" t="s">
        <v>124</v>
      </c>
      <c r="F13" s="2" t="s">
        <v>176</v>
      </c>
      <c r="G13" s="2" t="s">
        <v>126</v>
      </c>
      <c r="H13" s="2" t="s">
        <v>177</v>
      </c>
      <c r="I13" s="2" t="s">
        <v>178</v>
      </c>
      <c r="J13" s="2" t="s">
        <v>179</v>
      </c>
    </row>
  </sheetData>
  <autoFilter ref="A3:J13" xr:uid="{00000000-0009-0000-0000-000002000000}"/>
  <mergeCells count="2">
    <mergeCell ref="A1:J1"/>
    <mergeCell ref="A2:J2"/>
  </mergeCells>
  <pageMargins left="0.75" right="0.75" top="1" bottom="1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9"/>
  <sheetViews>
    <sheetView showGridLines="0" workbookViewId="0">
      <pane ySplit="3" topLeftCell="A4" activePane="bottomLeft" state="frozen"/>
      <selection pane="bottomLeft" sqref="A1:G1"/>
    </sheetView>
  </sheetViews>
  <sheetFormatPr defaultRowHeight="14.4" x14ac:dyDescent="0.3"/>
  <cols>
    <col min="1" max="2" width="10" customWidth="1"/>
    <col min="3" max="3" width="17" customWidth="1"/>
    <col min="4" max="4" width="14" customWidth="1"/>
    <col min="5" max="5" width="33" customWidth="1"/>
    <col min="6" max="6" width="16" customWidth="1"/>
    <col min="7" max="7" width="42" customWidth="1"/>
  </cols>
  <sheetData>
    <row r="1" spans="1:7" ht="24" customHeight="1" x14ac:dyDescent="0.3">
      <c r="A1" s="8" t="s">
        <v>180</v>
      </c>
      <c r="B1" s="6"/>
      <c r="C1" s="6"/>
      <c r="D1" s="6"/>
      <c r="E1" s="6"/>
      <c r="F1" s="6"/>
      <c r="G1" s="6"/>
    </row>
    <row r="2" spans="1:7" ht="31.95" customHeight="1" x14ac:dyDescent="0.3">
      <c r="A2" s="7" t="s">
        <v>181</v>
      </c>
      <c r="B2" s="6"/>
      <c r="C2" s="6"/>
      <c r="D2" s="6"/>
      <c r="E2" s="6"/>
      <c r="F2" s="6"/>
      <c r="G2" s="6"/>
    </row>
    <row r="3" spans="1:7" x14ac:dyDescent="0.3">
      <c r="A3" s="4" t="s">
        <v>182</v>
      </c>
      <c r="B3" s="4" t="s">
        <v>183</v>
      </c>
      <c r="C3" s="4" t="s">
        <v>184</v>
      </c>
      <c r="D3" s="4" t="s">
        <v>5</v>
      </c>
      <c r="E3" s="4" t="s">
        <v>38</v>
      </c>
      <c r="F3" s="4" t="s">
        <v>185</v>
      </c>
      <c r="G3" s="4" t="s">
        <v>40</v>
      </c>
    </row>
    <row r="4" spans="1:7" x14ac:dyDescent="0.3">
      <c r="A4" s="2">
        <v>77</v>
      </c>
      <c r="B4" s="2" t="s">
        <v>186</v>
      </c>
      <c r="C4" s="2" t="s">
        <v>4</v>
      </c>
      <c r="D4" s="2" t="s">
        <v>25</v>
      </c>
      <c r="E4" s="2" t="s">
        <v>187</v>
      </c>
      <c r="F4" s="2" t="s">
        <v>188</v>
      </c>
      <c r="G4" s="2" t="s">
        <v>189</v>
      </c>
    </row>
    <row r="5" spans="1:7" x14ac:dyDescent="0.3">
      <c r="A5" s="2">
        <v>10</v>
      </c>
      <c r="B5" s="2" t="s">
        <v>190</v>
      </c>
      <c r="C5" s="2" t="s">
        <v>191</v>
      </c>
      <c r="D5" s="2" t="s">
        <v>192</v>
      </c>
      <c r="E5" s="2" t="s">
        <v>193</v>
      </c>
      <c r="F5" s="2" t="s">
        <v>194</v>
      </c>
      <c r="G5" s="2" t="s">
        <v>195</v>
      </c>
    </row>
    <row r="6" spans="1:7" x14ac:dyDescent="0.3">
      <c r="A6" s="2">
        <v>20</v>
      </c>
      <c r="B6" s="2" t="s">
        <v>196</v>
      </c>
      <c r="C6" s="2" t="s">
        <v>197</v>
      </c>
      <c r="D6" s="2" t="s">
        <v>198</v>
      </c>
      <c r="E6" s="2" t="s">
        <v>199</v>
      </c>
      <c r="F6" s="2" t="s">
        <v>194</v>
      </c>
      <c r="G6" s="2" t="s">
        <v>200</v>
      </c>
    </row>
    <row r="7" spans="1:7" x14ac:dyDescent="0.3">
      <c r="A7" s="2">
        <v>30</v>
      </c>
      <c r="B7" s="2" t="s">
        <v>201</v>
      </c>
      <c r="C7" s="2" t="s">
        <v>202</v>
      </c>
      <c r="D7" s="2" t="s">
        <v>203</v>
      </c>
      <c r="E7" s="2" t="s">
        <v>204</v>
      </c>
      <c r="F7" s="2" t="s">
        <v>194</v>
      </c>
      <c r="G7" s="2" t="s">
        <v>205</v>
      </c>
    </row>
    <row r="8" spans="1:7" x14ac:dyDescent="0.3">
      <c r="A8" s="2">
        <v>40</v>
      </c>
      <c r="B8" s="2" t="s">
        <v>206</v>
      </c>
      <c r="C8" s="2" t="s">
        <v>207</v>
      </c>
      <c r="D8" s="2" t="s">
        <v>208</v>
      </c>
      <c r="E8" s="2" t="s">
        <v>209</v>
      </c>
      <c r="F8" s="2" t="s">
        <v>194</v>
      </c>
      <c r="G8" s="2" t="s">
        <v>210</v>
      </c>
    </row>
    <row r="9" spans="1:7" x14ac:dyDescent="0.3">
      <c r="A9" s="2">
        <v>50</v>
      </c>
      <c r="B9" s="2" t="s">
        <v>211</v>
      </c>
      <c r="C9" s="2" t="s">
        <v>212</v>
      </c>
      <c r="D9" s="2" t="s">
        <v>213</v>
      </c>
      <c r="E9" s="2" t="s">
        <v>214</v>
      </c>
      <c r="F9" s="2" t="s">
        <v>194</v>
      </c>
      <c r="G9" s="2" t="s">
        <v>215</v>
      </c>
    </row>
  </sheetData>
  <autoFilter ref="A3:G9" xr:uid="{00000000-0009-0000-0000-000003000000}"/>
  <mergeCells count="2">
    <mergeCell ref="A2:G2"/>
    <mergeCell ref="A1:G1"/>
  </mergeCells>
  <pageMargins left="0.75" right="0.75" top="1" bottom="1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21"/>
  <sheetViews>
    <sheetView showGridLines="0" workbookViewId="0">
      <pane ySplit="3" topLeftCell="A4" activePane="bottomLeft" state="frozen"/>
      <selection pane="bottomLeft" sqref="A1:J1"/>
    </sheetView>
  </sheetViews>
  <sheetFormatPr defaultRowHeight="14.4" x14ac:dyDescent="0.3"/>
  <cols>
    <col min="1" max="1" width="18" customWidth="1"/>
    <col min="2" max="2" width="19" customWidth="1"/>
    <col min="3" max="3" width="28" customWidth="1"/>
    <col min="4" max="4" width="13" customWidth="1"/>
    <col min="5" max="5" width="12" customWidth="1"/>
    <col min="6" max="7" width="19" customWidth="1"/>
    <col min="8" max="9" width="26" customWidth="1"/>
    <col min="10" max="10" width="38" customWidth="1"/>
  </cols>
  <sheetData>
    <row r="1" spans="1:10" ht="24" customHeight="1" x14ac:dyDescent="0.3">
      <c r="A1" s="8" t="s">
        <v>216</v>
      </c>
      <c r="B1" s="6"/>
      <c r="C1" s="6"/>
      <c r="D1" s="6"/>
      <c r="E1" s="6"/>
      <c r="F1" s="6"/>
      <c r="G1" s="6"/>
      <c r="H1" s="6"/>
      <c r="I1" s="6"/>
      <c r="J1" s="6"/>
    </row>
    <row r="2" spans="1:10" ht="31.95" customHeight="1" x14ac:dyDescent="0.3">
      <c r="A2" s="7" t="s">
        <v>217</v>
      </c>
      <c r="B2" s="6"/>
      <c r="C2" s="6"/>
      <c r="D2" s="6"/>
      <c r="E2" s="6"/>
      <c r="F2" s="6"/>
      <c r="G2" s="6"/>
      <c r="H2" s="6"/>
      <c r="I2" s="6"/>
      <c r="J2" s="6"/>
    </row>
    <row r="3" spans="1:10" x14ac:dyDescent="0.3">
      <c r="A3" s="4" t="s">
        <v>218</v>
      </c>
      <c r="B3" s="4" t="s">
        <v>219</v>
      </c>
      <c r="C3" s="4" t="s">
        <v>220</v>
      </c>
      <c r="D3" s="4" t="s">
        <v>221</v>
      </c>
      <c r="E3" s="4" t="s">
        <v>222</v>
      </c>
      <c r="F3" s="4" t="s">
        <v>223</v>
      </c>
      <c r="G3" s="4" t="s">
        <v>224</v>
      </c>
      <c r="H3" s="4" t="s">
        <v>225</v>
      </c>
      <c r="I3" s="4" t="s">
        <v>38</v>
      </c>
      <c r="J3" s="4" t="s">
        <v>40</v>
      </c>
    </row>
    <row r="4" spans="1:10" x14ac:dyDescent="0.3">
      <c r="A4" s="2" t="s">
        <v>22</v>
      </c>
      <c r="B4" s="2" t="s">
        <v>44</v>
      </c>
      <c r="C4" s="2" t="s">
        <v>226</v>
      </c>
      <c r="D4" s="2" t="s">
        <v>227</v>
      </c>
      <c r="E4" s="2"/>
      <c r="F4" s="2" t="s">
        <v>228</v>
      </c>
      <c r="G4" s="2" t="s">
        <v>229</v>
      </c>
      <c r="H4" s="2" t="s">
        <v>230</v>
      </c>
      <c r="I4" s="2" t="s">
        <v>231</v>
      </c>
      <c r="J4" s="2" t="s">
        <v>232</v>
      </c>
    </row>
    <row r="5" spans="1:10" x14ac:dyDescent="0.3">
      <c r="A5" s="2" t="s">
        <v>22</v>
      </c>
      <c r="B5" s="2" t="s">
        <v>52</v>
      </c>
      <c r="C5" s="2" t="s">
        <v>233</v>
      </c>
      <c r="D5" s="2"/>
      <c r="E5" s="2"/>
      <c r="F5" s="2" t="s">
        <v>234</v>
      </c>
      <c r="G5" s="2" t="s">
        <v>229</v>
      </c>
      <c r="H5" s="2" t="s">
        <v>235</v>
      </c>
      <c r="I5" s="2" t="s">
        <v>236</v>
      </c>
      <c r="J5" s="2" t="s">
        <v>237</v>
      </c>
    </row>
    <row r="6" spans="1:10" x14ac:dyDescent="0.3">
      <c r="A6" s="2" t="s">
        <v>22</v>
      </c>
      <c r="B6" s="2" t="s">
        <v>61</v>
      </c>
      <c r="C6" s="2" t="s">
        <v>233</v>
      </c>
      <c r="D6" s="2"/>
      <c r="E6" s="2"/>
      <c r="F6" s="2" t="s">
        <v>234</v>
      </c>
      <c r="G6" s="2" t="s">
        <v>229</v>
      </c>
      <c r="H6" s="2" t="s">
        <v>238</v>
      </c>
      <c r="I6" s="2" t="s">
        <v>236</v>
      </c>
      <c r="J6" s="2" t="s">
        <v>239</v>
      </c>
    </row>
    <row r="7" spans="1:10" x14ac:dyDescent="0.3">
      <c r="A7" s="2" t="s">
        <v>22</v>
      </c>
      <c r="B7" s="2" t="s">
        <v>66</v>
      </c>
      <c r="C7" s="2" t="s">
        <v>233</v>
      </c>
      <c r="D7" s="2"/>
      <c r="E7" s="2"/>
      <c r="F7" s="2" t="s">
        <v>234</v>
      </c>
      <c r="G7" s="2" t="s">
        <v>229</v>
      </c>
      <c r="H7" s="2" t="s">
        <v>240</v>
      </c>
      <c r="I7" s="2" t="s">
        <v>241</v>
      </c>
      <c r="J7" s="2" t="s">
        <v>242</v>
      </c>
    </row>
    <row r="8" spans="1:10" x14ac:dyDescent="0.3">
      <c r="A8" s="2" t="s">
        <v>22</v>
      </c>
      <c r="B8" s="2" t="s">
        <v>71</v>
      </c>
      <c r="C8" s="2" t="s">
        <v>233</v>
      </c>
      <c r="D8" s="2"/>
      <c r="E8" s="2"/>
      <c r="F8" s="2" t="s">
        <v>234</v>
      </c>
      <c r="G8" s="2" t="s">
        <v>229</v>
      </c>
      <c r="H8" s="2" t="s">
        <v>243</v>
      </c>
      <c r="I8" s="2" t="s">
        <v>241</v>
      </c>
      <c r="J8" s="2" t="s">
        <v>244</v>
      </c>
    </row>
    <row r="9" spans="1:10" x14ac:dyDescent="0.3">
      <c r="A9" s="2" t="s">
        <v>22</v>
      </c>
      <c r="B9" s="2" t="s">
        <v>76</v>
      </c>
      <c r="C9" s="2" t="s">
        <v>245</v>
      </c>
      <c r="D9" s="2" t="s">
        <v>234</v>
      </c>
      <c r="E9" s="2"/>
      <c r="F9" s="2"/>
      <c r="G9" s="2"/>
      <c r="H9" s="2" t="s">
        <v>246</v>
      </c>
      <c r="I9" s="2" t="s">
        <v>247</v>
      </c>
      <c r="J9" s="2" t="s">
        <v>248</v>
      </c>
    </row>
    <row r="10" spans="1:10" x14ac:dyDescent="0.3">
      <c r="A10" s="2" t="s">
        <v>22</v>
      </c>
      <c r="B10" s="2" t="s">
        <v>85</v>
      </c>
      <c r="C10" s="2" t="s">
        <v>245</v>
      </c>
      <c r="D10" s="2" t="s">
        <v>234</v>
      </c>
      <c r="E10" s="2"/>
      <c r="F10" s="2"/>
      <c r="G10" s="2"/>
      <c r="H10" s="2" t="s">
        <v>249</v>
      </c>
      <c r="I10" s="2" t="s">
        <v>250</v>
      </c>
      <c r="J10" s="2" t="s">
        <v>251</v>
      </c>
    </row>
    <row r="11" spans="1:10" x14ac:dyDescent="0.3">
      <c r="A11" s="2" t="s">
        <v>22</v>
      </c>
      <c r="B11" s="2" t="s">
        <v>92</v>
      </c>
      <c r="C11" s="2" t="s">
        <v>245</v>
      </c>
      <c r="D11" s="2" t="s">
        <v>234</v>
      </c>
      <c r="E11" s="2"/>
      <c r="F11" s="2"/>
      <c r="G11" s="2"/>
      <c r="H11" s="2" t="s">
        <v>252</v>
      </c>
      <c r="I11" s="2" t="s">
        <v>253</v>
      </c>
      <c r="J11" s="2" t="s">
        <v>254</v>
      </c>
    </row>
    <row r="12" spans="1:10" x14ac:dyDescent="0.3">
      <c r="A12" s="2" t="s">
        <v>22</v>
      </c>
      <c r="B12" s="2" t="s">
        <v>98</v>
      </c>
      <c r="C12" s="2" t="s">
        <v>245</v>
      </c>
      <c r="D12" s="2" t="s">
        <v>234</v>
      </c>
      <c r="E12" s="2"/>
      <c r="F12" s="2"/>
      <c r="G12" s="2"/>
      <c r="H12" s="2" t="s">
        <v>255</v>
      </c>
      <c r="I12" s="2" t="s">
        <v>256</v>
      </c>
      <c r="J12" s="2" t="s">
        <v>257</v>
      </c>
    </row>
    <row r="13" spans="1:10" x14ac:dyDescent="0.3">
      <c r="A13" s="2" t="s">
        <v>53</v>
      </c>
      <c r="B13" s="2" t="s">
        <v>258</v>
      </c>
      <c r="C13" s="2" t="s">
        <v>245</v>
      </c>
      <c r="D13" s="2" t="s">
        <v>259</v>
      </c>
      <c r="E13" s="2"/>
      <c r="F13" s="2"/>
      <c r="G13" s="2"/>
      <c r="H13" s="2" t="s">
        <v>260</v>
      </c>
      <c r="I13" s="2" t="s">
        <v>261</v>
      </c>
      <c r="J13" s="2" t="s">
        <v>262</v>
      </c>
    </row>
    <row r="14" spans="1:10" x14ac:dyDescent="0.3">
      <c r="A14" s="2" t="s">
        <v>53</v>
      </c>
      <c r="B14" s="2" t="s">
        <v>263</v>
      </c>
      <c r="C14" s="2" t="s">
        <v>245</v>
      </c>
      <c r="D14" s="2" t="s">
        <v>264</v>
      </c>
      <c r="E14" s="2"/>
      <c r="F14" s="2"/>
      <c r="G14" s="2"/>
      <c r="H14" s="2" t="s">
        <v>265</v>
      </c>
      <c r="I14" s="2" t="s">
        <v>266</v>
      </c>
      <c r="J14" s="2" t="s">
        <v>267</v>
      </c>
    </row>
    <row r="15" spans="1:10" x14ac:dyDescent="0.3">
      <c r="A15" s="2" t="s">
        <v>62</v>
      </c>
      <c r="B15" s="2" t="s">
        <v>268</v>
      </c>
      <c r="C15" s="2" t="s">
        <v>269</v>
      </c>
      <c r="D15" s="2" t="s">
        <v>259</v>
      </c>
      <c r="E15" s="2" t="s">
        <v>270</v>
      </c>
      <c r="F15" s="2"/>
      <c r="G15" s="2"/>
      <c r="H15" s="2" t="s">
        <v>271</v>
      </c>
      <c r="I15" s="2" t="s">
        <v>272</v>
      </c>
      <c r="J15" s="2" t="s">
        <v>273</v>
      </c>
    </row>
    <row r="16" spans="1:10" x14ac:dyDescent="0.3">
      <c r="A16" s="2" t="s">
        <v>67</v>
      </c>
      <c r="B16" s="2" t="s">
        <v>274</v>
      </c>
      <c r="C16" s="2" t="s">
        <v>245</v>
      </c>
      <c r="D16" s="2" t="s">
        <v>259</v>
      </c>
      <c r="E16" s="2"/>
      <c r="F16" s="2"/>
      <c r="G16" s="2"/>
      <c r="H16" s="2" t="s">
        <v>275</v>
      </c>
      <c r="I16" s="2" t="s">
        <v>276</v>
      </c>
      <c r="J16" s="2" t="s">
        <v>277</v>
      </c>
    </row>
    <row r="17" spans="1:10" x14ac:dyDescent="0.3">
      <c r="A17" s="2" t="s">
        <v>67</v>
      </c>
      <c r="B17" s="2" t="s">
        <v>278</v>
      </c>
      <c r="C17" s="2" t="s">
        <v>269</v>
      </c>
      <c r="D17" s="2" t="s">
        <v>259</v>
      </c>
      <c r="E17" s="2" t="s">
        <v>270</v>
      </c>
      <c r="F17" s="2"/>
      <c r="G17" s="2"/>
      <c r="H17" s="2" t="s">
        <v>279</v>
      </c>
      <c r="I17" s="2" t="s">
        <v>280</v>
      </c>
      <c r="J17" s="2" t="s">
        <v>277</v>
      </c>
    </row>
    <row r="18" spans="1:10" x14ac:dyDescent="0.3">
      <c r="A18" s="2" t="s">
        <v>67</v>
      </c>
      <c r="B18" s="2" t="s">
        <v>281</v>
      </c>
      <c r="C18" s="2" t="s">
        <v>245</v>
      </c>
      <c r="D18" s="2" t="s">
        <v>282</v>
      </c>
      <c r="E18" s="2"/>
      <c r="F18" s="2"/>
      <c r="G18" s="2"/>
      <c r="H18" s="2" t="s">
        <v>283</v>
      </c>
      <c r="I18" s="2" t="s">
        <v>284</v>
      </c>
      <c r="J18" s="2" t="s">
        <v>277</v>
      </c>
    </row>
    <row r="19" spans="1:10" x14ac:dyDescent="0.3">
      <c r="A19" s="2" t="s">
        <v>72</v>
      </c>
      <c r="B19" s="2" t="s">
        <v>274</v>
      </c>
      <c r="C19" s="2" t="s">
        <v>245</v>
      </c>
      <c r="D19" s="2" t="s">
        <v>259</v>
      </c>
      <c r="E19" s="2"/>
      <c r="F19" s="2"/>
      <c r="G19" s="2"/>
      <c r="H19" s="2" t="s">
        <v>275</v>
      </c>
      <c r="I19" s="2" t="s">
        <v>276</v>
      </c>
      <c r="J19" s="2" t="s">
        <v>277</v>
      </c>
    </row>
    <row r="20" spans="1:10" x14ac:dyDescent="0.3">
      <c r="A20" s="2" t="s">
        <v>72</v>
      </c>
      <c r="B20" s="2" t="s">
        <v>278</v>
      </c>
      <c r="C20" s="2" t="s">
        <v>269</v>
      </c>
      <c r="D20" s="2" t="s">
        <v>259</v>
      </c>
      <c r="E20" s="2" t="s">
        <v>270</v>
      </c>
      <c r="F20" s="2"/>
      <c r="G20" s="2"/>
      <c r="H20" s="2" t="s">
        <v>279</v>
      </c>
      <c r="I20" s="2" t="s">
        <v>280</v>
      </c>
      <c r="J20" s="2" t="s">
        <v>277</v>
      </c>
    </row>
    <row r="21" spans="1:10" x14ac:dyDescent="0.3">
      <c r="A21" s="2" t="s">
        <v>72</v>
      </c>
      <c r="B21" s="2" t="s">
        <v>281</v>
      </c>
      <c r="C21" s="2" t="s">
        <v>245</v>
      </c>
      <c r="D21" s="2" t="s">
        <v>285</v>
      </c>
      <c r="E21" s="2"/>
      <c r="F21" s="2"/>
      <c r="G21" s="2"/>
      <c r="H21" s="2" t="s">
        <v>286</v>
      </c>
      <c r="I21" s="2" t="s">
        <v>287</v>
      </c>
      <c r="J21" s="2" t="s">
        <v>288</v>
      </c>
    </row>
  </sheetData>
  <autoFilter ref="A3:J21" xr:uid="{00000000-0009-0000-0000-000004000000}"/>
  <mergeCells count="2">
    <mergeCell ref="A1:J1"/>
    <mergeCell ref="A2:J2"/>
  </mergeCells>
  <pageMargins left="0.75" right="0.75" top="1" bottom="1" header="0.5" footer="0.5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37"/>
  <sheetViews>
    <sheetView showGridLines="0" workbookViewId="0">
      <pane ySplit="3" topLeftCell="A4" activePane="bottomLeft" state="frozen"/>
      <selection pane="bottomLeft" sqref="A1:F1"/>
    </sheetView>
  </sheetViews>
  <sheetFormatPr defaultRowHeight="14.4" x14ac:dyDescent="0.3"/>
  <cols>
    <col min="1" max="1" width="19" customWidth="1"/>
    <col min="2" max="2" width="15" customWidth="1"/>
    <col min="3" max="4" width="42" customWidth="1"/>
    <col min="5" max="5" width="10" customWidth="1"/>
    <col min="6" max="6" width="42" customWidth="1"/>
  </cols>
  <sheetData>
    <row r="1" spans="1:6" ht="24" customHeight="1" x14ac:dyDescent="0.3">
      <c r="A1" s="8" t="s">
        <v>289</v>
      </c>
      <c r="B1" s="6"/>
      <c r="C1" s="6"/>
      <c r="D1" s="6"/>
      <c r="E1" s="6"/>
      <c r="F1" s="6"/>
    </row>
    <row r="2" spans="1:6" ht="31.95" customHeight="1" x14ac:dyDescent="0.3">
      <c r="A2" s="7" t="s">
        <v>290</v>
      </c>
      <c r="B2" s="6"/>
      <c r="C2" s="6"/>
      <c r="D2" s="6"/>
      <c r="E2" s="6"/>
      <c r="F2" s="6"/>
    </row>
    <row r="3" spans="1:6" x14ac:dyDescent="0.3">
      <c r="A3" s="4" t="s">
        <v>218</v>
      </c>
      <c r="B3" s="4" t="s">
        <v>291</v>
      </c>
      <c r="C3" s="4" t="s">
        <v>292</v>
      </c>
      <c r="D3" s="4" t="s">
        <v>293</v>
      </c>
      <c r="E3" s="4" t="s">
        <v>13</v>
      </c>
      <c r="F3" s="4" t="s">
        <v>40</v>
      </c>
    </row>
    <row r="4" spans="1:6" x14ac:dyDescent="0.3">
      <c r="A4" s="2" t="s">
        <v>22</v>
      </c>
      <c r="B4" s="2" t="s">
        <v>294</v>
      </c>
      <c r="C4" s="2" t="s">
        <v>295</v>
      </c>
      <c r="D4" s="2" t="s">
        <v>296</v>
      </c>
      <c r="E4" s="2" t="s">
        <v>16</v>
      </c>
      <c r="F4" s="2" t="s">
        <v>297</v>
      </c>
    </row>
    <row r="5" spans="1:6" ht="27.6" x14ac:dyDescent="0.3">
      <c r="A5" s="2" t="s">
        <v>22</v>
      </c>
      <c r="B5" s="2" t="s">
        <v>298</v>
      </c>
      <c r="C5" s="2" t="s">
        <v>299</v>
      </c>
      <c r="D5" s="2" t="s">
        <v>300</v>
      </c>
      <c r="E5" s="2" t="s">
        <v>16</v>
      </c>
      <c r="F5" s="2" t="s">
        <v>301</v>
      </c>
    </row>
    <row r="6" spans="1:6" ht="27.6" x14ac:dyDescent="0.3">
      <c r="A6" s="2" t="s">
        <v>22</v>
      </c>
      <c r="B6" s="2" t="s">
        <v>302</v>
      </c>
      <c r="C6" s="2" t="s">
        <v>303</v>
      </c>
      <c r="D6" s="2" t="s">
        <v>304</v>
      </c>
      <c r="E6" s="2" t="s">
        <v>16</v>
      </c>
      <c r="F6" s="2" t="s">
        <v>305</v>
      </c>
    </row>
    <row r="7" spans="1:6" x14ac:dyDescent="0.3">
      <c r="A7" s="2" t="s">
        <v>22</v>
      </c>
      <c r="B7" s="2" t="s">
        <v>306</v>
      </c>
      <c r="C7" s="2" t="s">
        <v>307</v>
      </c>
      <c r="D7" s="2" t="s">
        <v>308</v>
      </c>
      <c r="E7" s="2" t="s">
        <v>16</v>
      </c>
      <c r="F7" s="2" t="s">
        <v>309</v>
      </c>
    </row>
    <row r="8" spans="1:6" x14ac:dyDescent="0.3">
      <c r="A8" s="2" t="s">
        <v>53</v>
      </c>
      <c r="B8" s="2" t="s">
        <v>294</v>
      </c>
      <c r="C8" s="2" t="s">
        <v>295</v>
      </c>
      <c r="D8" s="2" t="s">
        <v>310</v>
      </c>
      <c r="E8" s="2" t="s">
        <v>16</v>
      </c>
      <c r="F8" s="2" t="s">
        <v>297</v>
      </c>
    </row>
    <row r="9" spans="1:6" ht="27.6" x14ac:dyDescent="0.3">
      <c r="A9" s="2" t="s">
        <v>53</v>
      </c>
      <c r="B9" s="2" t="s">
        <v>298</v>
      </c>
      <c r="C9" s="2" t="s">
        <v>299</v>
      </c>
      <c r="D9" s="2" t="s">
        <v>311</v>
      </c>
      <c r="E9" s="2" t="s">
        <v>16</v>
      </c>
      <c r="F9" s="2" t="s">
        <v>301</v>
      </c>
    </row>
    <row r="10" spans="1:6" ht="27.6" x14ac:dyDescent="0.3">
      <c r="A10" s="2" t="s">
        <v>53</v>
      </c>
      <c r="B10" s="2" t="s">
        <v>302</v>
      </c>
      <c r="C10" s="2" t="s">
        <v>303</v>
      </c>
      <c r="D10" s="2" t="s">
        <v>304</v>
      </c>
      <c r="E10" s="2" t="s">
        <v>16</v>
      </c>
      <c r="F10" s="2" t="s">
        <v>305</v>
      </c>
    </row>
    <row r="11" spans="1:6" x14ac:dyDescent="0.3">
      <c r="A11" s="2" t="s">
        <v>53</v>
      </c>
      <c r="B11" s="2" t="s">
        <v>306</v>
      </c>
      <c r="C11" s="2" t="s">
        <v>307</v>
      </c>
      <c r="D11" s="2" t="s">
        <v>308</v>
      </c>
      <c r="E11" s="2" t="s">
        <v>16</v>
      </c>
      <c r="F11" s="2" t="s">
        <v>309</v>
      </c>
    </row>
    <row r="12" spans="1:6" x14ac:dyDescent="0.3">
      <c r="A12" s="2" t="s">
        <v>62</v>
      </c>
      <c r="B12" s="2" t="s">
        <v>294</v>
      </c>
      <c r="C12" s="2" t="s">
        <v>295</v>
      </c>
      <c r="D12" s="2" t="s">
        <v>312</v>
      </c>
      <c r="E12" s="2" t="s">
        <v>16</v>
      </c>
      <c r="F12" s="2" t="s">
        <v>297</v>
      </c>
    </row>
    <row r="13" spans="1:6" ht="27.6" x14ac:dyDescent="0.3">
      <c r="A13" s="2" t="s">
        <v>62</v>
      </c>
      <c r="B13" s="2" t="s">
        <v>298</v>
      </c>
      <c r="C13" s="2" t="s">
        <v>299</v>
      </c>
      <c r="D13" s="2" t="s">
        <v>313</v>
      </c>
      <c r="E13" s="2" t="s">
        <v>16</v>
      </c>
      <c r="F13" s="2" t="s">
        <v>301</v>
      </c>
    </row>
    <row r="14" spans="1:6" ht="27.6" x14ac:dyDescent="0.3">
      <c r="A14" s="2" t="s">
        <v>62</v>
      </c>
      <c r="B14" s="2" t="s">
        <v>302</v>
      </c>
      <c r="C14" s="2" t="s">
        <v>303</v>
      </c>
      <c r="D14" s="2" t="s">
        <v>304</v>
      </c>
      <c r="E14" s="2" t="s">
        <v>16</v>
      </c>
      <c r="F14" s="2" t="s">
        <v>305</v>
      </c>
    </row>
    <row r="15" spans="1:6" x14ac:dyDescent="0.3">
      <c r="A15" s="2" t="s">
        <v>62</v>
      </c>
      <c r="B15" s="2" t="s">
        <v>306</v>
      </c>
      <c r="C15" s="2" t="s">
        <v>307</v>
      </c>
      <c r="D15" s="2" t="s">
        <v>308</v>
      </c>
      <c r="E15" s="2" t="s">
        <v>16</v>
      </c>
      <c r="F15" s="2" t="s">
        <v>309</v>
      </c>
    </row>
    <row r="16" spans="1:6" x14ac:dyDescent="0.3">
      <c r="A16" s="2" t="s">
        <v>67</v>
      </c>
      <c r="B16" s="2" t="s">
        <v>294</v>
      </c>
      <c r="C16" s="2" t="s">
        <v>295</v>
      </c>
      <c r="D16" s="2" t="s">
        <v>314</v>
      </c>
      <c r="E16" s="2" t="s">
        <v>16</v>
      </c>
      <c r="F16" s="2" t="s">
        <v>297</v>
      </c>
    </row>
    <row r="17" spans="1:6" ht="27.6" x14ac:dyDescent="0.3">
      <c r="A17" s="2" t="s">
        <v>67</v>
      </c>
      <c r="B17" s="2" t="s">
        <v>298</v>
      </c>
      <c r="C17" s="2" t="s">
        <v>299</v>
      </c>
      <c r="D17" s="2" t="s">
        <v>315</v>
      </c>
      <c r="E17" s="2" t="s">
        <v>16</v>
      </c>
      <c r="F17" s="2" t="s">
        <v>301</v>
      </c>
    </row>
    <row r="18" spans="1:6" ht="27.6" x14ac:dyDescent="0.3">
      <c r="A18" s="2" t="s">
        <v>67</v>
      </c>
      <c r="B18" s="2" t="s">
        <v>302</v>
      </c>
      <c r="C18" s="2" t="s">
        <v>303</v>
      </c>
      <c r="D18" s="2" t="s">
        <v>304</v>
      </c>
      <c r="E18" s="2" t="s">
        <v>16</v>
      </c>
      <c r="F18" s="2" t="s">
        <v>305</v>
      </c>
    </row>
    <row r="19" spans="1:6" x14ac:dyDescent="0.3">
      <c r="A19" s="2" t="s">
        <v>67</v>
      </c>
      <c r="B19" s="2" t="s">
        <v>306</v>
      </c>
      <c r="C19" s="2" t="s">
        <v>307</v>
      </c>
      <c r="D19" s="2" t="s">
        <v>308</v>
      </c>
      <c r="E19" s="2" t="s">
        <v>16</v>
      </c>
      <c r="F19" s="2" t="s">
        <v>309</v>
      </c>
    </row>
    <row r="20" spans="1:6" x14ac:dyDescent="0.3">
      <c r="A20" s="2" t="s">
        <v>72</v>
      </c>
      <c r="B20" s="2" t="s">
        <v>294</v>
      </c>
      <c r="C20" s="2" t="s">
        <v>295</v>
      </c>
      <c r="D20" s="2" t="s">
        <v>316</v>
      </c>
      <c r="E20" s="2" t="s">
        <v>16</v>
      </c>
      <c r="F20" s="2" t="s">
        <v>297</v>
      </c>
    </row>
    <row r="21" spans="1:6" ht="27.6" x14ac:dyDescent="0.3">
      <c r="A21" s="2" t="s">
        <v>72</v>
      </c>
      <c r="B21" s="2" t="s">
        <v>298</v>
      </c>
      <c r="C21" s="2" t="s">
        <v>299</v>
      </c>
      <c r="D21" s="2" t="s">
        <v>317</v>
      </c>
      <c r="E21" s="2" t="s">
        <v>16</v>
      </c>
      <c r="F21" s="2" t="s">
        <v>301</v>
      </c>
    </row>
    <row r="22" spans="1:6" ht="27.6" x14ac:dyDescent="0.3">
      <c r="A22" s="2" t="s">
        <v>72</v>
      </c>
      <c r="B22" s="2" t="s">
        <v>302</v>
      </c>
      <c r="C22" s="2" t="s">
        <v>303</v>
      </c>
      <c r="D22" s="2" t="s">
        <v>304</v>
      </c>
      <c r="E22" s="2" t="s">
        <v>16</v>
      </c>
      <c r="F22" s="2" t="s">
        <v>305</v>
      </c>
    </row>
    <row r="23" spans="1:6" x14ac:dyDescent="0.3">
      <c r="A23" s="2" t="s">
        <v>72</v>
      </c>
      <c r="B23" s="2" t="s">
        <v>306</v>
      </c>
      <c r="C23" s="2" t="s">
        <v>307</v>
      </c>
      <c r="D23" s="2" t="s">
        <v>308</v>
      </c>
      <c r="E23" s="2" t="s">
        <v>16</v>
      </c>
      <c r="F23" s="2" t="s">
        <v>309</v>
      </c>
    </row>
    <row r="24" spans="1:6" x14ac:dyDescent="0.3">
      <c r="A24" s="2" t="s">
        <v>77</v>
      </c>
      <c r="B24" s="2" t="s">
        <v>294</v>
      </c>
      <c r="C24" s="2" t="s">
        <v>295</v>
      </c>
      <c r="D24" s="2" t="s">
        <v>318</v>
      </c>
      <c r="E24" s="2" t="s">
        <v>16</v>
      </c>
      <c r="F24" s="2" t="s">
        <v>297</v>
      </c>
    </row>
    <row r="25" spans="1:6" ht="27.6" x14ac:dyDescent="0.3">
      <c r="A25" s="2" t="s">
        <v>77</v>
      </c>
      <c r="B25" s="2" t="s">
        <v>298</v>
      </c>
      <c r="C25" s="2" t="s">
        <v>299</v>
      </c>
      <c r="D25" s="2" t="s">
        <v>319</v>
      </c>
      <c r="E25" s="2" t="s">
        <v>16</v>
      </c>
      <c r="F25" s="2" t="s">
        <v>301</v>
      </c>
    </row>
    <row r="26" spans="1:6" ht="27.6" x14ac:dyDescent="0.3">
      <c r="A26" s="2" t="s">
        <v>77</v>
      </c>
      <c r="B26" s="2" t="s">
        <v>302</v>
      </c>
      <c r="C26" s="2" t="s">
        <v>303</v>
      </c>
      <c r="D26" s="2" t="s">
        <v>304</v>
      </c>
      <c r="E26" s="2" t="s">
        <v>16</v>
      </c>
      <c r="F26" s="2" t="s">
        <v>305</v>
      </c>
    </row>
    <row r="27" spans="1:6" x14ac:dyDescent="0.3">
      <c r="A27" s="2" t="s">
        <v>77</v>
      </c>
      <c r="B27" s="2" t="s">
        <v>306</v>
      </c>
      <c r="C27" s="2" t="s">
        <v>307</v>
      </c>
      <c r="D27" s="2" t="s">
        <v>308</v>
      </c>
      <c r="E27" s="2" t="s">
        <v>16</v>
      </c>
      <c r="F27" s="2" t="s">
        <v>309</v>
      </c>
    </row>
    <row r="28" spans="1:6" x14ac:dyDescent="0.3">
      <c r="A28" s="2" t="s">
        <v>86</v>
      </c>
      <c r="B28" s="2" t="s">
        <v>294</v>
      </c>
      <c r="C28" s="2" t="s">
        <v>295</v>
      </c>
      <c r="D28" s="2" t="s">
        <v>320</v>
      </c>
      <c r="E28" s="2" t="s">
        <v>16</v>
      </c>
      <c r="F28" s="2" t="s">
        <v>297</v>
      </c>
    </row>
    <row r="29" spans="1:6" ht="27.6" x14ac:dyDescent="0.3">
      <c r="A29" s="2" t="s">
        <v>86</v>
      </c>
      <c r="B29" s="2" t="s">
        <v>298</v>
      </c>
      <c r="C29" s="2" t="s">
        <v>299</v>
      </c>
      <c r="D29" s="2" t="s">
        <v>321</v>
      </c>
      <c r="E29" s="2" t="s">
        <v>16</v>
      </c>
      <c r="F29" s="2" t="s">
        <v>301</v>
      </c>
    </row>
    <row r="30" spans="1:6" ht="27.6" x14ac:dyDescent="0.3">
      <c r="A30" s="2" t="s">
        <v>86</v>
      </c>
      <c r="B30" s="2" t="s">
        <v>302</v>
      </c>
      <c r="C30" s="2" t="s">
        <v>303</v>
      </c>
      <c r="D30" s="2" t="s">
        <v>304</v>
      </c>
      <c r="E30" s="2" t="s">
        <v>16</v>
      </c>
      <c r="F30" s="2" t="s">
        <v>305</v>
      </c>
    </row>
    <row r="31" spans="1:6" x14ac:dyDescent="0.3">
      <c r="A31" s="2" t="s">
        <v>86</v>
      </c>
      <c r="B31" s="2" t="s">
        <v>306</v>
      </c>
      <c r="C31" s="2" t="s">
        <v>307</v>
      </c>
      <c r="D31" s="2" t="s">
        <v>308</v>
      </c>
      <c r="E31" s="2" t="s">
        <v>16</v>
      </c>
      <c r="F31" s="2" t="s">
        <v>309</v>
      </c>
    </row>
    <row r="32" spans="1:6" x14ac:dyDescent="0.3">
      <c r="A32" s="2" t="s">
        <v>93</v>
      </c>
      <c r="B32" s="2" t="s">
        <v>294</v>
      </c>
      <c r="C32" s="2" t="s">
        <v>295</v>
      </c>
      <c r="D32" s="2" t="s">
        <v>322</v>
      </c>
      <c r="E32" s="2" t="s">
        <v>16</v>
      </c>
      <c r="F32" s="2" t="s">
        <v>297</v>
      </c>
    </row>
    <row r="33" spans="1:6" ht="27.6" x14ac:dyDescent="0.3">
      <c r="A33" s="2" t="s">
        <v>93</v>
      </c>
      <c r="B33" s="2" t="s">
        <v>298</v>
      </c>
      <c r="C33" s="2" t="s">
        <v>299</v>
      </c>
      <c r="D33" s="2" t="s">
        <v>323</v>
      </c>
      <c r="E33" s="2" t="s">
        <v>16</v>
      </c>
      <c r="F33" s="2" t="s">
        <v>301</v>
      </c>
    </row>
    <row r="34" spans="1:6" ht="27.6" x14ac:dyDescent="0.3">
      <c r="A34" s="2" t="s">
        <v>93</v>
      </c>
      <c r="B34" s="2" t="s">
        <v>302</v>
      </c>
      <c r="C34" s="2" t="s">
        <v>303</v>
      </c>
      <c r="D34" s="2" t="s">
        <v>304</v>
      </c>
      <c r="E34" s="2" t="s">
        <v>16</v>
      </c>
      <c r="F34" s="2" t="s">
        <v>305</v>
      </c>
    </row>
    <row r="35" spans="1:6" x14ac:dyDescent="0.3">
      <c r="A35" s="2" t="s">
        <v>93</v>
      </c>
      <c r="B35" s="2" t="s">
        <v>306</v>
      </c>
      <c r="C35" s="2" t="s">
        <v>307</v>
      </c>
      <c r="D35" s="2" t="s">
        <v>308</v>
      </c>
      <c r="E35" s="2" t="s">
        <v>16</v>
      </c>
      <c r="F35" s="2" t="s">
        <v>309</v>
      </c>
    </row>
    <row r="36" spans="1:6" x14ac:dyDescent="0.3">
      <c r="A36" s="2" t="s">
        <v>42</v>
      </c>
      <c r="B36" s="2" t="s">
        <v>324</v>
      </c>
      <c r="C36" s="2" t="s">
        <v>325</v>
      </c>
      <c r="D36" s="2" t="s">
        <v>326</v>
      </c>
      <c r="E36" s="2" t="s">
        <v>16</v>
      </c>
      <c r="F36" s="2" t="s">
        <v>327</v>
      </c>
    </row>
    <row r="37" spans="1:6" ht="27.6" x14ac:dyDescent="0.3">
      <c r="A37" s="2" t="s">
        <v>99</v>
      </c>
      <c r="B37" s="2" t="s">
        <v>328</v>
      </c>
      <c r="C37" s="2" t="s">
        <v>329</v>
      </c>
      <c r="D37" s="2" t="s">
        <v>330</v>
      </c>
      <c r="E37" s="2" t="s">
        <v>16</v>
      </c>
      <c r="F37" s="2" t="s">
        <v>331</v>
      </c>
    </row>
  </sheetData>
  <autoFilter ref="A3:F37" xr:uid="{00000000-0009-0000-0000-000005000000}"/>
  <mergeCells count="2">
    <mergeCell ref="A2:F2"/>
    <mergeCell ref="A1:F1"/>
  </mergeCells>
  <dataValidations count="1">
    <dataValidation type="list" sqref="E4:E37" xr:uid="{00000000-0002-0000-0500-000000000000}">
      <formula1>"Planned,In Progress,Confirmed,Needs Check,Retired"</formula1>
    </dataValidation>
  </dataValidations>
  <pageMargins left="0.75" right="0.75" top="1" bottom="1" header="0.5" footer="0.5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H12"/>
  <sheetViews>
    <sheetView showGridLines="0" workbookViewId="0">
      <pane ySplit="3" topLeftCell="A4" activePane="bottomLeft" state="frozen"/>
      <selection pane="bottomLeft" sqref="A1:H1"/>
    </sheetView>
  </sheetViews>
  <sheetFormatPr defaultRowHeight="14.4" x14ac:dyDescent="0.3"/>
  <cols>
    <col min="1" max="1" width="28" customWidth="1"/>
    <col min="2" max="2" width="10" customWidth="1"/>
    <col min="3" max="3" width="18" customWidth="1"/>
    <col min="4" max="4" width="11" customWidth="1"/>
    <col min="5" max="5" width="19" customWidth="1"/>
    <col min="6" max="6" width="10" customWidth="1"/>
    <col min="7" max="7" width="42" customWidth="1"/>
    <col min="8" max="8" width="31" customWidth="1"/>
  </cols>
  <sheetData>
    <row r="1" spans="1:8" ht="24" customHeight="1" x14ac:dyDescent="0.3">
      <c r="A1" s="8" t="s">
        <v>332</v>
      </c>
      <c r="B1" s="6"/>
      <c r="C1" s="6"/>
      <c r="D1" s="6"/>
      <c r="E1" s="6"/>
      <c r="F1" s="6"/>
      <c r="G1" s="6"/>
      <c r="H1" s="6"/>
    </row>
    <row r="2" spans="1:8" ht="31.95" customHeight="1" x14ac:dyDescent="0.3">
      <c r="A2" s="7" t="s">
        <v>333</v>
      </c>
      <c r="B2" s="6"/>
      <c r="C2" s="6"/>
      <c r="D2" s="6"/>
      <c r="E2" s="6"/>
      <c r="F2" s="6"/>
      <c r="G2" s="6"/>
      <c r="H2" s="6"/>
    </row>
    <row r="3" spans="1:8" x14ac:dyDescent="0.3">
      <c r="A3" s="4" t="s">
        <v>30</v>
      </c>
      <c r="B3" s="4" t="s">
        <v>13</v>
      </c>
      <c r="C3" s="4" t="s">
        <v>31</v>
      </c>
      <c r="D3" s="4" t="s">
        <v>32</v>
      </c>
      <c r="E3" s="4" t="s">
        <v>33</v>
      </c>
      <c r="F3" s="4" t="s">
        <v>34</v>
      </c>
      <c r="G3" s="4" t="s">
        <v>37</v>
      </c>
      <c r="H3" s="4" t="s">
        <v>38</v>
      </c>
    </row>
    <row r="4" spans="1:8" ht="27.6" x14ac:dyDescent="0.3">
      <c r="A4" s="2" t="s">
        <v>41</v>
      </c>
      <c r="B4" s="2" t="s">
        <v>16</v>
      </c>
      <c r="C4" s="2" t="s">
        <v>42</v>
      </c>
      <c r="D4" s="2" t="s">
        <v>43</v>
      </c>
      <c r="E4" s="2" t="s">
        <v>22</v>
      </c>
      <c r="F4" s="2" t="s">
        <v>44</v>
      </c>
      <c r="G4" s="2" t="s">
        <v>47</v>
      </c>
      <c r="H4" s="2" t="s">
        <v>48</v>
      </c>
    </row>
    <row r="5" spans="1:8" x14ac:dyDescent="0.3">
      <c r="A5" s="2" t="s">
        <v>51</v>
      </c>
      <c r="B5" s="2" t="s">
        <v>16</v>
      </c>
      <c r="C5" s="2" t="s">
        <v>22</v>
      </c>
      <c r="D5" s="2" t="s">
        <v>52</v>
      </c>
      <c r="E5" s="2" t="s">
        <v>53</v>
      </c>
      <c r="F5" s="2" t="s">
        <v>54</v>
      </c>
      <c r="G5" s="2" t="s">
        <v>57</v>
      </c>
      <c r="H5" s="2" t="s">
        <v>58</v>
      </c>
    </row>
    <row r="6" spans="1:8" x14ac:dyDescent="0.3">
      <c r="A6" s="2" t="s">
        <v>60</v>
      </c>
      <c r="B6" s="2" t="s">
        <v>16</v>
      </c>
      <c r="C6" s="2" t="s">
        <v>22</v>
      </c>
      <c r="D6" s="2" t="s">
        <v>61</v>
      </c>
      <c r="E6" s="2" t="s">
        <v>62</v>
      </c>
      <c r="F6" s="2" t="s">
        <v>63</v>
      </c>
      <c r="G6" s="2" t="s">
        <v>57</v>
      </c>
      <c r="H6" s="2" t="s">
        <v>64</v>
      </c>
    </row>
    <row r="7" spans="1:8" x14ac:dyDescent="0.3">
      <c r="A7" s="2" t="s">
        <v>65</v>
      </c>
      <c r="B7" s="2" t="s">
        <v>16</v>
      </c>
      <c r="C7" s="2" t="s">
        <v>22</v>
      </c>
      <c r="D7" s="2" t="s">
        <v>66</v>
      </c>
      <c r="E7" s="2" t="s">
        <v>67</v>
      </c>
      <c r="F7" s="2" t="s">
        <v>52</v>
      </c>
      <c r="G7" s="2" t="s">
        <v>57</v>
      </c>
      <c r="H7" s="2" t="s">
        <v>68</v>
      </c>
    </row>
    <row r="8" spans="1:8" x14ac:dyDescent="0.3">
      <c r="A8" s="2" t="s">
        <v>70</v>
      </c>
      <c r="B8" s="2" t="s">
        <v>16</v>
      </c>
      <c r="C8" s="2" t="s">
        <v>22</v>
      </c>
      <c r="D8" s="2" t="s">
        <v>71</v>
      </c>
      <c r="E8" s="2" t="s">
        <v>72</v>
      </c>
      <c r="F8" s="2" t="s">
        <v>52</v>
      </c>
      <c r="G8" s="2" t="s">
        <v>57</v>
      </c>
      <c r="H8" s="2" t="s">
        <v>73</v>
      </c>
    </row>
    <row r="9" spans="1:8" x14ac:dyDescent="0.3">
      <c r="A9" s="2" t="s">
        <v>75</v>
      </c>
      <c r="B9" s="2" t="s">
        <v>16</v>
      </c>
      <c r="C9" s="2" t="s">
        <v>22</v>
      </c>
      <c r="D9" s="2" t="s">
        <v>76</v>
      </c>
      <c r="E9" s="2" t="s">
        <v>77</v>
      </c>
      <c r="F9" s="2" t="s">
        <v>78</v>
      </c>
      <c r="G9" s="2" t="s">
        <v>80</v>
      </c>
      <c r="H9" s="2" t="s">
        <v>81</v>
      </c>
    </row>
    <row r="10" spans="1:8" x14ac:dyDescent="0.3">
      <c r="A10" s="2" t="s">
        <v>84</v>
      </c>
      <c r="B10" s="2" t="s">
        <v>16</v>
      </c>
      <c r="C10" s="2" t="s">
        <v>22</v>
      </c>
      <c r="D10" s="2" t="s">
        <v>85</v>
      </c>
      <c r="E10" s="2" t="s">
        <v>86</v>
      </c>
      <c r="F10" s="2" t="s">
        <v>87</v>
      </c>
      <c r="G10" s="2" t="s">
        <v>80</v>
      </c>
      <c r="H10" s="2" t="s">
        <v>88</v>
      </c>
    </row>
    <row r="11" spans="1:8" x14ac:dyDescent="0.3">
      <c r="A11" s="2" t="s">
        <v>91</v>
      </c>
      <c r="B11" s="2" t="s">
        <v>16</v>
      </c>
      <c r="C11" s="2" t="s">
        <v>22</v>
      </c>
      <c r="D11" s="2" t="s">
        <v>92</v>
      </c>
      <c r="E11" s="2" t="s">
        <v>93</v>
      </c>
      <c r="F11" s="2" t="s">
        <v>87</v>
      </c>
      <c r="G11" s="2" t="s">
        <v>80</v>
      </c>
      <c r="H11" s="2" t="s">
        <v>94</v>
      </c>
    </row>
    <row r="12" spans="1:8" x14ac:dyDescent="0.3">
      <c r="A12" s="2" t="s">
        <v>97</v>
      </c>
      <c r="B12" s="2" t="s">
        <v>16</v>
      </c>
      <c r="C12" s="2" t="s">
        <v>22</v>
      </c>
      <c r="D12" s="2" t="s">
        <v>98</v>
      </c>
      <c r="E12" s="2" t="s">
        <v>99</v>
      </c>
      <c r="F12" s="2" t="s">
        <v>100</v>
      </c>
      <c r="G12" s="2" t="s">
        <v>102</v>
      </c>
      <c r="H12" s="2" t="s">
        <v>103</v>
      </c>
    </row>
  </sheetData>
  <autoFilter ref="A3:H12" xr:uid="{00000000-0009-0000-0000-000006000000}"/>
  <mergeCells count="2">
    <mergeCell ref="A2:H2"/>
    <mergeCell ref="A1:H1"/>
  </mergeCells>
  <dataValidations count="1">
    <dataValidation type="list" sqref="B4:B12" xr:uid="{00000000-0002-0000-0600-000000000000}">
      <formula1>"Planned,In Progress,Confirmed,Needs Check,Retired"</formula1>
    </dataValidation>
  </dataValidations>
  <pageMargins left="0.75" right="0.75" top="1" bottom="1" header="0.5" footer="0.5"/>
  <pageSetup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F22"/>
  <sheetViews>
    <sheetView showGridLines="0" workbookViewId="0">
      <pane ySplit="3" topLeftCell="A4" activePane="bottomLeft" state="frozen"/>
      <selection pane="bottomLeft" sqref="A1:F1"/>
    </sheetView>
  </sheetViews>
  <sheetFormatPr defaultRowHeight="14.4" x14ac:dyDescent="0.3"/>
  <cols>
    <col min="1" max="1" width="12" customWidth="1"/>
    <col min="2" max="2" width="28" customWidth="1"/>
    <col min="3" max="3" width="42" customWidth="1"/>
    <col min="4" max="4" width="21" customWidth="1"/>
    <col min="5" max="5" width="12" customWidth="1"/>
    <col min="6" max="6" width="21" customWidth="1"/>
  </cols>
  <sheetData>
    <row r="1" spans="1:6" ht="24" customHeight="1" x14ac:dyDescent="0.3">
      <c r="A1" s="8" t="s">
        <v>334</v>
      </c>
      <c r="B1" s="6"/>
      <c r="C1" s="6"/>
      <c r="D1" s="6"/>
      <c r="E1" s="6"/>
      <c r="F1" s="6"/>
    </row>
    <row r="2" spans="1:6" ht="31.95" customHeight="1" x14ac:dyDescent="0.3">
      <c r="A2" s="7" t="s">
        <v>335</v>
      </c>
      <c r="B2" s="6"/>
      <c r="C2" s="6"/>
      <c r="D2" s="6"/>
      <c r="E2" s="6"/>
      <c r="F2" s="6"/>
    </row>
    <row r="3" spans="1:6" x14ac:dyDescent="0.3">
      <c r="A3" s="4" t="s">
        <v>336</v>
      </c>
      <c r="B3" s="4" t="s">
        <v>337</v>
      </c>
      <c r="C3" s="4" t="s">
        <v>338</v>
      </c>
      <c r="D3" s="4" t="s">
        <v>114</v>
      </c>
      <c r="E3" s="4" t="s">
        <v>115</v>
      </c>
      <c r="F3" s="4" t="s">
        <v>339</v>
      </c>
    </row>
    <row r="4" spans="1:6" ht="41.4" x14ac:dyDescent="0.3">
      <c r="A4" s="2" t="s">
        <v>218</v>
      </c>
      <c r="B4" s="2" t="s">
        <v>42</v>
      </c>
      <c r="C4" s="2" t="s">
        <v>340</v>
      </c>
      <c r="D4" s="2" t="s">
        <v>119</v>
      </c>
      <c r="E4" s="2"/>
      <c r="F4" s="2" t="s">
        <v>341</v>
      </c>
    </row>
    <row r="5" spans="1:6" ht="41.4" x14ac:dyDescent="0.3">
      <c r="A5" s="2" t="s">
        <v>218</v>
      </c>
      <c r="B5" s="2" t="s">
        <v>22</v>
      </c>
      <c r="C5" s="2" t="s">
        <v>342</v>
      </c>
      <c r="D5" s="2" t="s">
        <v>126</v>
      </c>
      <c r="E5" s="2" t="s">
        <v>127</v>
      </c>
      <c r="F5" s="2" t="s">
        <v>341</v>
      </c>
    </row>
    <row r="6" spans="1:6" ht="41.4" x14ac:dyDescent="0.3">
      <c r="A6" s="2" t="s">
        <v>218</v>
      </c>
      <c r="B6" s="2" t="s">
        <v>53</v>
      </c>
      <c r="C6" s="2" t="s">
        <v>343</v>
      </c>
      <c r="D6" s="2" t="s">
        <v>126</v>
      </c>
      <c r="E6" s="2" t="s">
        <v>134</v>
      </c>
      <c r="F6" s="2" t="s">
        <v>341</v>
      </c>
    </row>
    <row r="7" spans="1:6" ht="41.4" x14ac:dyDescent="0.3">
      <c r="A7" s="2" t="s">
        <v>218</v>
      </c>
      <c r="B7" s="2" t="s">
        <v>62</v>
      </c>
      <c r="C7" s="2" t="s">
        <v>344</v>
      </c>
      <c r="D7" s="2" t="s">
        <v>126</v>
      </c>
      <c r="E7" s="2" t="s">
        <v>140</v>
      </c>
      <c r="F7" s="2" t="s">
        <v>341</v>
      </c>
    </row>
    <row r="8" spans="1:6" ht="41.4" x14ac:dyDescent="0.3">
      <c r="A8" s="2" t="s">
        <v>218</v>
      </c>
      <c r="B8" s="2" t="s">
        <v>67</v>
      </c>
      <c r="C8" s="2" t="s">
        <v>345</v>
      </c>
      <c r="D8" s="2" t="s">
        <v>126</v>
      </c>
      <c r="E8" s="2" t="s">
        <v>147</v>
      </c>
      <c r="F8" s="2" t="s">
        <v>341</v>
      </c>
    </row>
    <row r="9" spans="1:6" ht="41.4" x14ac:dyDescent="0.3">
      <c r="A9" s="2" t="s">
        <v>218</v>
      </c>
      <c r="B9" s="2" t="s">
        <v>72</v>
      </c>
      <c r="C9" s="2" t="s">
        <v>346</v>
      </c>
      <c r="D9" s="2" t="s">
        <v>126</v>
      </c>
      <c r="E9" s="2" t="s">
        <v>152</v>
      </c>
      <c r="F9" s="2" t="s">
        <v>341</v>
      </c>
    </row>
    <row r="10" spans="1:6" ht="41.4" x14ac:dyDescent="0.3">
      <c r="A10" s="2" t="s">
        <v>218</v>
      </c>
      <c r="B10" s="2" t="s">
        <v>77</v>
      </c>
      <c r="C10" s="2" t="s">
        <v>347</v>
      </c>
      <c r="D10" s="2" t="s">
        <v>126</v>
      </c>
      <c r="E10" s="2" t="s">
        <v>159</v>
      </c>
      <c r="F10" s="2" t="s">
        <v>341</v>
      </c>
    </row>
    <row r="11" spans="1:6" ht="41.4" x14ac:dyDescent="0.3">
      <c r="A11" s="2" t="s">
        <v>218</v>
      </c>
      <c r="B11" s="2" t="s">
        <v>86</v>
      </c>
      <c r="C11" s="2" t="s">
        <v>348</v>
      </c>
      <c r="D11" s="2" t="s">
        <v>126</v>
      </c>
      <c r="E11" s="2" t="s">
        <v>165</v>
      </c>
      <c r="F11" s="2" t="s">
        <v>341</v>
      </c>
    </row>
    <row r="12" spans="1:6" ht="41.4" x14ac:dyDescent="0.3">
      <c r="A12" s="2" t="s">
        <v>218</v>
      </c>
      <c r="B12" s="2" t="s">
        <v>93</v>
      </c>
      <c r="C12" s="2" t="s">
        <v>349</v>
      </c>
      <c r="D12" s="2" t="s">
        <v>126</v>
      </c>
      <c r="E12" s="2" t="s">
        <v>170</v>
      </c>
      <c r="F12" s="2" t="s">
        <v>341</v>
      </c>
    </row>
    <row r="13" spans="1:6" ht="41.4" x14ac:dyDescent="0.3">
      <c r="A13" s="2" t="s">
        <v>218</v>
      </c>
      <c r="B13" s="2" t="s">
        <v>99</v>
      </c>
      <c r="C13" s="2" t="s">
        <v>350</v>
      </c>
      <c r="D13" s="2" t="s">
        <v>126</v>
      </c>
      <c r="E13" s="2" t="s">
        <v>177</v>
      </c>
      <c r="F13" s="2" t="s">
        <v>341</v>
      </c>
    </row>
    <row r="14" spans="1:6" ht="41.4" x14ac:dyDescent="0.3">
      <c r="A14" s="2" t="s">
        <v>351</v>
      </c>
      <c r="B14" s="2" t="s">
        <v>41</v>
      </c>
      <c r="C14" s="2" t="s">
        <v>352</v>
      </c>
      <c r="D14" s="2" t="s">
        <v>126</v>
      </c>
      <c r="E14" s="2"/>
      <c r="F14" s="2" t="s">
        <v>46</v>
      </c>
    </row>
    <row r="15" spans="1:6" ht="41.4" x14ac:dyDescent="0.3">
      <c r="A15" s="2" t="s">
        <v>351</v>
      </c>
      <c r="B15" s="2" t="s">
        <v>51</v>
      </c>
      <c r="C15" s="2" t="s">
        <v>353</v>
      </c>
      <c r="D15" s="2" t="s">
        <v>126</v>
      </c>
      <c r="E15" s="2"/>
      <c r="F15" s="2" t="s">
        <v>56</v>
      </c>
    </row>
    <row r="16" spans="1:6" ht="41.4" x14ac:dyDescent="0.3">
      <c r="A16" s="2" t="s">
        <v>351</v>
      </c>
      <c r="B16" s="2" t="s">
        <v>60</v>
      </c>
      <c r="C16" s="2" t="s">
        <v>354</v>
      </c>
      <c r="D16" s="2" t="s">
        <v>126</v>
      </c>
      <c r="E16" s="2"/>
      <c r="F16" s="2" t="s">
        <v>56</v>
      </c>
    </row>
    <row r="17" spans="1:6" ht="41.4" x14ac:dyDescent="0.3">
      <c r="A17" s="2" t="s">
        <v>351</v>
      </c>
      <c r="B17" s="2" t="s">
        <v>65</v>
      </c>
      <c r="C17" s="2" t="s">
        <v>355</v>
      </c>
      <c r="D17" s="2" t="s">
        <v>126</v>
      </c>
      <c r="E17" s="2"/>
      <c r="F17" s="2" t="s">
        <v>56</v>
      </c>
    </row>
    <row r="18" spans="1:6" ht="41.4" x14ac:dyDescent="0.3">
      <c r="A18" s="2" t="s">
        <v>351</v>
      </c>
      <c r="B18" s="2" t="s">
        <v>70</v>
      </c>
      <c r="C18" s="2" t="s">
        <v>356</v>
      </c>
      <c r="D18" s="2" t="s">
        <v>126</v>
      </c>
      <c r="E18" s="2"/>
      <c r="F18" s="2" t="s">
        <v>56</v>
      </c>
    </row>
    <row r="19" spans="1:6" ht="41.4" x14ac:dyDescent="0.3">
      <c r="A19" s="2" t="s">
        <v>351</v>
      </c>
      <c r="B19" s="2" t="s">
        <v>75</v>
      </c>
      <c r="C19" s="2" t="s">
        <v>357</v>
      </c>
      <c r="D19" s="2" t="s">
        <v>126</v>
      </c>
      <c r="E19" s="2"/>
      <c r="F19" s="2" t="s">
        <v>79</v>
      </c>
    </row>
    <row r="20" spans="1:6" ht="41.4" x14ac:dyDescent="0.3">
      <c r="A20" s="2" t="s">
        <v>351</v>
      </c>
      <c r="B20" s="2" t="s">
        <v>84</v>
      </c>
      <c r="C20" s="2" t="s">
        <v>358</v>
      </c>
      <c r="D20" s="2" t="s">
        <v>126</v>
      </c>
      <c r="E20" s="2"/>
      <c r="F20" s="2" t="s">
        <v>79</v>
      </c>
    </row>
    <row r="21" spans="1:6" ht="41.4" x14ac:dyDescent="0.3">
      <c r="A21" s="2" t="s">
        <v>351</v>
      </c>
      <c r="B21" s="2" t="s">
        <v>91</v>
      </c>
      <c r="C21" s="2" t="s">
        <v>359</v>
      </c>
      <c r="D21" s="2" t="s">
        <v>126</v>
      </c>
      <c r="E21" s="2"/>
      <c r="F21" s="2" t="s">
        <v>79</v>
      </c>
    </row>
    <row r="22" spans="1:6" ht="41.4" x14ac:dyDescent="0.3">
      <c r="A22" s="2" t="s">
        <v>351</v>
      </c>
      <c r="B22" s="2" t="s">
        <v>97</v>
      </c>
      <c r="C22" s="2" t="s">
        <v>360</v>
      </c>
      <c r="D22" s="2" t="s">
        <v>126</v>
      </c>
      <c r="E22" s="2"/>
      <c r="F22" s="2" t="s">
        <v>101</v>
      </c>
    </row>
  </sheetData>
  <autoFilter ref="A3:F22" xr:uid="{00000000-0009-0000-0000-000007000000}"/>
  <mergeCells count="2">
    <mergeCell ref="A2:F2"/>
    <mergeCell ref="A1:F1"/>
  </mergeCell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Patch Plan</vt:lpstr>
      <vt:lpstr>Device Inventory</vt:lpstr>
      <vt:lpstr>VLAN IP Plan</vt:lpstr>
      <vt:lpstr>Switch Port Plan</vt:lpstr>
      <vt:lpstr>Config Checklist</vt:lpstr>
      <vt:lpstr>TraceEveryLink Import</vt:lpstr>
      <vt:lpstr>Labels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PIR-LAB Patch Plan</dc:title>
  <dc:subject>Pirelli office lab TraceEveryLink patch plan</dc:subject>
  <dc:creator>Codex</dc:creator>
  <cp:keywords>TraceEveryLink, PatchPlan, Cisco, Pirelli, PIR-LAB</cp:keywords>
  <cp:lastModifiedBy>Lawrence Wei</cp:lastModifiedBy>
  <dcterms:created xsi:type="dcterms:W3CDTF">2026-06-18T04:07:39Z</dcterms:created>
  <dcterms:modified xsi:type="dcterms:W3CDTF">2026-06-19T11:46:54Z</dcterms:modified>
</cp:coreProperties>
</file>