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ch Plan" sheetId="2" state="visible" r:id="rId2"/>
    <sheet xmlns:r="http://schemas.openxmlformats.org/officeDocument/2006/relationships" name="Device Inventory" sheetId="3" state="visible" r:id="rId3"/>
    <sheet xmlns:r="http://schemas.openxmlformats.org/officeDocument/2006/relationships" name="VLAN IP Plan" sheetId="4" state="visible" r:id="rId4"/>
    <sheet xmlns:r="http://schemas.openxmlformats.org/officeDocument/2006/relationships" name="Switch Port Plan" sheetId="5" state="visible" r:id="rId5"/>
    <sheet xmlns:r="http://schemas.openxmlformats.org/officeDocument/2006/relationships" name="Config Checklist" sheetId="6" state="visible" r:id="rId6"/>
    <sheet xmlns:r="http://schemas.openxmlformats.org/officeDocument/2006/relationships" name="TraceEveryLink Import" sheetId="7" state="visible" r:id="rId7"/>
    <sheet xmlns:r="http://schemas.openxmlformats.org/officeDocument/2006/relationships" name="Labels" sheetId="8" state="visible" r:id="rId8"/>
  </sheets>
  <definedNames>
    <definedName name="_xlnm._FilterDatabase" localSheetId="1" hidden="1">'Patch Plan'!$A$3:$M$12</definedName>
    <definedName name="_xlnm._FilterDatabase" localSheetId="2" hidden="1">'Device Inventory'!$A$3:$J$13</definedName>
    <definedName name="_xlnm._FilterDatabase" localSheetId="3" hidden="1">'VLAN IP Plan'!$A$3:$G$9</definedName>
    <definedName name="_xlnm._FilterDatabase" localSheetId="4" hidden="1">'Switch Port Plan'!$A$3:$J$21</definedName>
    <definedName name="_xlnm._FilterDatabase" localSheetId="5" hidden="1">'Config Checklist'!$A$3:$F$37</definedName>
    <definedName name="_xlnm._FilterDatabase" localSheetId="6" hidden="1">'TraceEveryLink Import'!$A$3:$H$12</definedName>
    <definedName name="_xlnm._FilterDatabase" localSheetId="7" hidden="1">'Labels'!$A$3:$F$22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475569"/>
      <sz val="9"/>
    </font>
    <font>
      <b val="1"/>
      <color rgb="00111827"/>
    </font>
    <font>
      <color rgb="00111827"/>
      <sz val="10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2FF"/>
      </patternFill>
    </fill>
    <fill>
      <patternFill patternType="solid">
        <fgColor rgb="00D8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Patch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'Summary'!$D$9:$D$13</f>
            </numRef>
          </cat>
          <val>
            <numRef>
              <f>'Summary'!$E$9:$E$13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atchPlanTable" displayName="PatchPlanTable" ref="A3:M10" headerRowCount="1">
  <autoFilter ref="A3:M12"/>
  <tableColumns count="13">
    <tableColumn id="1" name="Order"/>
    <tableColumn id="2" name="Cable ID"/>
    <tableColumn id="3" name="Status"/>
    <tableColumn id="4" name="From Device"/>
    <tableColumn id="5" name="From Port"/>
    <tableColumn id="6" name="To Device"/>
    <tableColumn id="7" name="To Port"/>
    <tableColumn id="8" name="Media"/>
    <tableColumn id="9" name="Color"/>
    <tableColumn id="10" name="VLAN / Trunk"/>
    <tableColumn id="11" name="Purpose"/>
    <tableColumn id="12" name="Verification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viceInventoryTable" displayName="DeviceInventoryTable" ref="A3:J11" headerRowCount="1">
  <autoFilter ref="A3:J13"/>
  <tableColumns count="10">
    <tableColumn id="1" name="Role"/>
    <tableColumn id="2" name="TraceEveryLink Name"/>
    <tableColumn id="3" name="Cisco-safe Hostname"/>
    <tableColumn id="4" name="Management IP"/>
    <tableColumn id="5" name="Vendor"/>
    <tableColumn id="6" name="Model"/>
    <tableColumn id="7" name="Rack"/>
    <tableColumn id="8" name="U Position"/>
    <tableColumn id="9" name="Purpose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lanIpPlanTable" displayName="VlanIpPlanTable" ref="A3:G9" headerRowCount="1">
  <autoFilter ref="A3:G9"/>
  <tableColumns count="7">
    <tableColumn id="1" name="VLAN"/>
    <tableColumn id="2" name="Name"/>
    <tableColumn id="3" name="Subnet"/>
    <tableColumn id="4" name="Gateway"/>
    <tableColumn id="5" name="Purpose"/>
    <tableColumn id="6" name="Phas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witchPortPlanTable" displayName="SwitchPortPlanTable" ref="A3:J16" headerRowCount="1">
  <autoFilter ref="A3:J21"/>
  <tableColumns count="10">
    <tableColumn id="1" name="Device"/>
    <tableColumn id="2" name="Port / Range"/>
    <tableColumn id="3" name="Mode"/>
    <tableColumn id="4" name="Access VLAN"/>
    <tableColumn id="5" name="Voice VLAN"/>
    <tableColumn id="6" name="Native VLAN"/>
    <tableColumn id="7" name="Allowed VLANs"/>
    <tableColumn id="8" name="Connected To"/>
    <tableColumn id="9" name="Purpose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figChecklistTable" displayName="ConfigChecklistTable" ref="A3:F29" headerRowCount="1">
  <autoFilter ref="A3:F37"/>
  <tableColumns count="6">
    <tableColumn id="1" name="Device"/>
    <tableColumn id="2" name="Area"/>
    <tableColumn id="3" name="Task"/>
    <tableColumn id="4" name="Command / Target"/>
    <tableColumn id="5" name="Status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aceImportTable" displayName="TraceImportTable" ref="A3:H10" headerRowCount="1">
  <autoFilter ref="A3:H12"/>
  <tableColumns count="8">
    <tableColumn id="1" name="Cable ID"/>
    <tableColumn id="2" name="Status"/>
    <tableColumn id="3" name="From Device"/>
    <tableColumn id="4" name="From Port"/>
    <tableColumn id="5" name="To Device"/>
    <tableColumn id="6" name="To Port"/>
    <tableColumn id="7" name="VLAN / Trunk"/>
    <tableColumn id="8" name="Purp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abelsTable" displayName="LabelsTable" ref="A3:F18" headerRowCount="1">
  <autoFilter ref="A3:F22"/>
  <tableColumns count="6">
    <tableColumn id="1" name="Label Type"/>
    <tableColumn id="2" name="Item ID"/>
    <tableColumn id="3" name="Label Text"/>
    <tableColumn id="4" name="Rack"/>
    <tableColumn id="5" name="U Position"/>
    <tableColumn id="6" name="Print / Colo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" customWidth="1" min="3" max="3"/>
    <col width="18" customWidth="1" min="4" max="4"/>
    <col width="14" customWidth="1" min="5" max="5"/>
    <col width="4" customWidth="1" min="6" max="6"/>
  </cols>
  <sheetData>
    <row r="1" ht="26" customHeight="1">
      <c r="A1" s="1" t="inlineStr">
        <is>
          <t>PIR-LAB Patch Plan Summary</t>
        </is>
      </c>
    </row>
    <row r="2">
      <c r="A2" s="3" t="inlineStr">
        <is>
          <t>Generated</t>
        </is>
      </c>
      <c r="B2" s="4" t="inlineStr">
        <is>
          <t>2026-06-18 12:07</t>
        </is>
      </c>
      <c r="C2" s="4" t="inlineStr"/>
      <c r="D2" s="3" t="inlineStr"/>
      <c r="E2" s="4" t="inlineStr"/>
      <c r="F2" s="4" t="inlineStr"/>
    </row>
    <row r="3">
      <c r="A3" s="3" t="inlineStr">
        <is>
          <t>Management subnet</t>
        </is>
      </c>
      <c r="B3" s="4" t="inlineStr">
        <is>
          <t>192.168.77.0/24</t>
        </is>
      </c>
      <c r="C3" s="4" t="inlineStr"/>
      <c r="D3" s="3" t="inlineStr"/>
      <c r="E3" s="4" t="inlineStr"/>
      <c r="F3" s="4" t="inlineStr"/>
    </row>
    <row r="4">
      <c r="A4" s="3" t="inlineStr">
        <is>
          <t>Gateway</t>
        </is>
      </c>
      <c r="B4" s="4" t="inlineStr">
        <is>
          <t>PIR-LAB-GW77.1 / 192.168.77.1</t>
        </is>
      </c>
      <c r="C4" s="4" t="inlineStr"/>
      <c r="D4" s="3" t="inlineStr"/>
      <c r="E4" s="4" t="inlineStr"/>
      <c r="F4" s="4" t="inlineStr"/>
    </row>
    <row r="5">
      <c r="A5" s="3" t="inlineStr">
        <is>
          <t>Static infrastructure range</t>
        </is>
      </c>
      <c r="B5" s="4" t="inlineStr">
        <is>
          <t>192.168.77.1-192.168.77.99</t>
        </is>
      </c>
      <c r="C5" s="4" t="inlineStr"/>
      <c r="D5" s="3" t="inlineStr"/>
      <c r="E5" s="4" t="inlineStr"/>
      <c r="F5" s="4" t="inlineStr"/>
    </row>
    <row r="6">
      <c r="A6" s="3" t="inlineStr">
        <is>
          <t>Suggested DHCP pool</t>
        </is>
      </c>
      <c r="B6" s="4" t="inlineStr">
        <is>
          <t>192.168.77.100-192.168.77.199</t>
        </is>
      </c>
      <c r="C6" s="4" t="inlineStr"/>
      <c r="D6" s="3" t="inlineStr"/>
      <c r="E6" s="4" t="inlineStr"/>
      <c r="F6" s="4" t="inlineStr"/>
    </row>
    <row r="7">
      <c r="A7" s="3" t="inlineStr">
        <is>
          <t>Avoided / upstream ranges</t>
        </is>
      </c>
      <c r="B7" s="4" t="inlineStr">
        <is>
          <t>192.168.10.0/23 is already used upstream via 192.168.10.1; do not use 192.168.50.0/24</t>
        </is>
      </c>
      <c r="C7" s="4" t="inlineStr"/>
      <c r="D7" s="3" t="inlineStr"/>
      <c r="E7" s="4" t="inlineStr"/>
      <c r="F7" s="4" t="inlineStr"/>
    </row>
    <row r="8">
      <c r="A8" s="5" t="inlineStr">
        <is>
          <t>Metric</t>
        </is>
      </c>
      <c r="B8" s="5" t="inlineStr">
        <is>
          <t>Value</t>
        </is>
      </c>
      <c r="C8" s="5" t="inlineStr"/>
      <c r="D8" s="5" t="inlineStr">
        <is>
          <t>Status</t>
        </is>
      </c>
      <c r="E8" s="5" t="inlineStr">
        <is>
          <t>Count</t>
        </is>
      </c>
      <c r="F8" s="5" t="inlineStr"/>
    </row>
    <row r="9">
      <c r="A9" s="3" t="inlineStr">
        <is>
          <t>Devices</t>
        </is>
      </c>
      <c r="B9" s="4" t="n">
        <v>8</v>
      </c>
      <c r="C9" s="4" t="inlineStr"/>
      <c r="D9" s="3" t="inlineStr">
        <is>
          <t>Planned</t>
        </is>
      </c>
      <c r="E9" s="4">
        <f>COUNTIF('Patch Plan'!C:C,"Planned")</f>
        <v/>
      </c>
      <c r="F9" s="4" t="inlineStr"/>
    </row>
    <row r="10">
      <c r="A10" s="3" t="inlineStr">
        <is>
          <t>VLANs</t>
        </is>
      </c>
      <c r="B10" s="4" t="n">
        <v>6</v>
      </c>
      <c r="C10" s="4" t="inlineStr"/>
      <c r="D10" s="3" t="inlineStr">
        <is>
          <t>In Progress</t>
        </is>
      </c>
      <c r="E10" s="4">
        <f>COUNTIF('Patch Plan'!C:C,"In Progress")</f>
        <v/>
      </c>
      <c r="F10" s="4" t="inlineStr"/>
    </row>
    <row r="11">
      <c r="A11" s="3" t="inlineStr">
        <is>
          <t>Planned links</t>
        </is>
      </c>
      <c r="B11" s="4" t="n">
        <v>7</v>
      </c>
      <c r="C11" s="4" t="inlineStr"/>
      <c r="D11" s="3" t="inlineStr">
        <is>
          <t>Confirmed</t>
        </is>
      </c>
      <c r="E11" s="4">
        <f>COUNTIF('Patch Plan'!C:C,"Confirmed")</f>
        <v/>
      </c>
      <c r="F11" s="4" t="inlineStr"/>
    </row>
    <row r="12">
      <c r="A12" s="3" t="inlineStr">
        <is>
          <t>Core switch</t>
        </is>
      </c>
      <c r="B12" s="4" t="inlineStr">
        <is>
          <t>PIR-LAB-CORE77.2</t>
        </is>
      </c>
      <c r="C12" s="4" t="inlineStr"/>
      <c r="D12" s="3" t="inlineStr">
        <is>
          <t>Needs Check</t>
        </is>
      </c>
      <c r="E12" s="4">
        <f>COUNTIF('Patch Plan'!C:C,"Needs Check")</f>
        <v/>
      </c>
      <c r="F12" s="4" t="inlineStr"/>
    </row>
    <row r="13">
      <c r="A13" s="3" t="inlineStr">
        <is>
          <t>Default next hop</t>
        </is>
      </c>
      <c r="B13" s="4" t="inlineStr">
        <is>
          <t>192.168.77.1</t>
        </is>
      </c>
      <c r="C13" s="4" t="inlineStr"/>
      <c r="D13" s="3" t="inlineStr">
        <is>
          <t>Retired</t>
        </is>
      </c>
      <c r="E13" s="4">
        <f>COUNTIF('Patch Plan'!C:C,"Retired")</f>
        <v/>
      </c>
      <c r="F13" s="4" t="inlineStr"/>
    </row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1" customWidth="1" min="5" max="5"/>
    <col width="19" customWidth="1" min="6" max="6"/>
    <col width="10" customWidth="1" min="7" max="7"/>
    <col width="11" customWidth="1" min="8" max="8"/>
    <col width="10" customWidth="1" min="9" max="9"/>
    <col width="42" customWidth="1" min="10" max="10"/>
    <col width="31" customWidth="1" min="11" max="11"/>
    <col width="42" customWidth="1" min="12" max="12"/>
    <col width="41" customWidth="1" min="13" max="13"/>
  </cols>
  <sheetData>
    <row r="1" ht="24" customHeight="1">
      <c r="A1" s="6" t="inlineStr">
        <is>
          <t>Patch Plan</t>
        </is>
      </c>
    </row>
    <row r="2" ht="32" customHeight="1">
      <c r="A2" s="7" t="inlineStr">
        <is>
          <t>现场用法：先按 Order 接线；接完后把 Status 从 Planned 改为 Confirmed，并填写实际颜色、端口或备注。</t>
        </is>
      </c>
    </row>
    <row r="3">
      <c r="A3" s="8" t="inlineStr">
        <is>
          <t>Order</t>
        </is>
      </c>
      <c r="B3" s="8" t="inlineStr">
        <is>
          <t>Cable ID</t>
        </is>
      </c>
      <c r="C3" s="8" t="inlineStr">
        <is>
          <t>Status</t>
        </is>
      </c>
      <c r="D3" s="8" t="inlineStr">
        <is>
          <t>From Device</t>
        </is>
      </c>
      <c r="E3" s="8" t="inlineStr">
        <is>
          <t>From Port</t>
        </is>
      </c>
      <c r="F3" s="8" t="inlineStr">
        <is>
          <t>To Device</t>
        </is>
      </c>
      <c r="G3" s="8" t="inlineStr">
        <is>
          <t>To Port</t>
        </is>
      </c>
      <c r="H3" s="8" t="inlineStr">
        <is>
          <t>Media</t>
        </is>
      </c>
      <c r="I3" s="8" t="inlineStr">
        <is>
          <t>Color</t>
        </is>
      </c>
      <c r="J3" s="8" t="inlineStr">
        <is>
          <t>VLAN / Trunk</t>
        </is>
      </c>
      <c r="K3" s="8" t="inlineStr">
        <is>
          <t>Purpose</t>
        </is>
      </c>
      <c r="L3" s="8" t="inlineStr">
        <is>
          <t>Verification</t>
        </is>
      </c>
      <c r="M3" s="8" t="inlineStr">
        <is>
          <t>Notes</t>
        </is>
      </c>
    </row>
    <row r="4">
      <c r="A4" s="4" t="n">
        <v>1</v>
      </c>
      <c r="B4" s="4" t="inlineStr">
        <is>
          <t>CBL-PIR-GW77-1-CORE77-2</t>
        </is>
      </c>
      <c r="C4" s="4" t="inlineStr">
        <is>
          <t>Planned</t>
        </is>
      </c>
      <c r="D4" s="4" t="inlineStr">
        <is>
          <t>PIR-LAB-GW77.1</t>
        </is>
      </c>
      <c r="E4" s="4" t="inlineStr">
        <is>
          <t>lan1</t>
        </is>
      </c>
      <c r="F4" s="4" t="inlineStr">
        <is>
          <t>PIR-LAB-CORE77.2</t>
        </is>
      </c>
      <c r="G4" s="4" t="inlineStr">
        <is>
          <t>Gi1/0/48</t>
        </is>
      </c>
      <c r="H4" s="4" t="inlineStr">
        <is>
          <t>Copper</t>
        </is>
      </c>
      <c r="I4" s="4" t="inlineStr">
        <is>
          <t>Blue</t>
        </is>
      </c>
      <c r="J4" s="4" t="inlineStr">
        <is>
          <t>VLAN 77 access now; phase 2 trunk 77,78,79,80,81,82</t>
        </is>
      </c>
      <c r="K4" s="4" t="inlineStr">
        <is>
          <t>iStoreOS uplink to core</t>
        </is>
      </c>
      <c r="L4" s="4" t="inlineStr">
        <is>
          <t>Ping 192.168.77.1 from core; ping 192.168.77.2 from laptop</t>
        </is>
      </c>
      <c r="M4" s="4" t="inlineStr">
        <is>
          <t>iStoreOS WAN is upstream under 192.168.10.0/23; LAN to lab is 192.168.77.1</t>
        </is>
      </c>
    </row>
    <row r="5">
      <c r="A5" s="4" t="n">
        <v>2</v>
      </c>
      <c r="B5" s="4" t="inlineStr">
        <is>
          <t>CBL-PIR-CORE77-2-ACC77-5</t>
        </is>
      </c>
      <c r="C5" s="4" t="inlineStr">
        <is>
          <t>Planned</t>
        </is>
      </c>
      <c r="D5" s="4" t="inlineStr">
        <is>
          <t>PIR-LAB-CORE77.2</t>
        </is>
      </c>
      <c r="E5" s="4" t="inlineStr">
        <is>
          <t>Gi1/0/51</t>
        </is>
      </c>
      <c r="F5" s="4" t="inlineStr">
        <is>
          <t>PIR-LAB-ACC77.5</t>
        </is>
      </c>
      <c r="G5" s="4" t="inlineStr">
        <is>
          <t>Gi1/0/49</t>
        </is>
      </c>
      <c r="H5" s="4" t="inlineStr">
        <is>
          <t>Fiber/SFP</t>
        </is>
      </c>
      <c r="I5" s="4" t="inlineStr">
        <is>
          <t>Aqua</t>
        </is>
      </c>
      <c r="J5" s="4" t="inlineStr">
        <is>
          <t>Trunk allow 77,78,79,80,81,82</t>
        </is>
      </c>
      <c r="K5" s="4" t="inlineStr">
        <is>
          <t>Core to 2960-X access 1</t>
        </is>
      </c>
      <c r="L5" s="4" t="inlineStr">
        <is>
          <t>CDP neighbor correct; VLAN 77 reachable</t>
        </is>
      </c>
      <c r="M5" s="4" t="inlineStr">
        <is>
          <t>Use first SFP uplink on ACC77.5</t>
        </is>
      </c>
    </row>
    <row r="6">
      <c r="A6" s="4" t="n">
        <v>3</v>
      </c>
      <c r="B6" s="4" t="inlineStr">
        <is>
          <t>CBL-PIR-CORE77-2-ACC77-6</t>
        </is>
      </c>
      <c r="C6" s="4" t="inlineStr">
        <is>
          <t>Planned</t>
        </is>
      </c>
      <c r="D6" s="4" t="inlineStr">
        <is>
          <t>PIR-LAB-CORE77.2</t>
        </is>
      </c>
      <c r="E6" s="4" t="inlineStr">
        <is>
          <t>Gi1/0/52</t>
        </is>
      </c>
      <c r="F6" s="4" t="inlineStr">
        <is>
          <t>PIR-LAB-ACC77.6</t>
        </is>
      </c>
      <c r="G6" s="4" t="inlineStr">
        <is>
          <t>Gi1/0/49</t>
        </is>
      </c>
      <c r="H6" s="4" t="inlineStr">
        <is>
          <t>Fiber/SFP</t>
        </is>
      </c>
      <c r="I6" s="4" t="inlineStr">
        <is>
          <t>Aqua</t>
        </is>
      </c>
      <c r="J6" s="4" t="inlineStr">
        <is>
          <t>Trunk allow 77,78,79,80,81,82</t>
        </is>
      </c>
      <c r="K6" s="4" t="inlineStr">
        <is>
          <t>Core to 2960-X access 2</t>
        </is>
      </c>
      <c r="L6" s="4" t="inlineStr">
        <is>
          <t>CDP neighbor correct; VLAN 77 reachable</t>
        </is>
      </c>
      <c r="M6" s="4" t="inlineStr">
        <is>
          <t>Use first SFP uplink on ACC77.6</t>
        </is>
      </c>
    </row>
    <row r="7">
      <c r="A7" s="4" t="n">
        <v>4</v>
      </c>
      <c r="B7" s="4" t="inlineStr">
        <is>
          <t>CBL-PIR-CORE77-2-RTR77-11</t>
        </is>
      </c>
      <c r="C7" s="4" t="inlineStr">
        <is>
          <t>Planned</t>
        </is>
      </c>
      <c r="D7" s="4" t="inlineStr">
        <is>
          <t>PIR-LAB-CORE77.2</t>
        </is>
      </c>
      <c r="E7" s="4" t="inlineStr">
        <is>
          <t>Gi1/0/11</t>
        </is>
      </c>
      <c r="F7" s="4" t="inlineStr">
        <is>
          <t>PIR-LAB-RTR77.11</t>
        </is>
      </c>
      <c r="G7" s="4" t="inlineStr">
        <is>
          <t>Gi0/0</t>
        </is>
      </c>
      <c r="H7" s="4" t="inlineStr">
        <is>
          <t>Copper</t>
        </is>
      </c>
      <c r="I7" s="4" t="inlineStr">
        <is>
          <t>Yellow</t>
        </is>
      </c>
      <c r="J7" s="4" t="inlineStr">
        <is>
          <t>Access VLAN 77</t>
        </is>
      </c>
      <c r="K7" s="4" t="inlineStr">
        <is>
          <t>1911 management / lab uplink</t>
        </is>
      </c>
      <c r="L7" s="4" t="inlineStr">
        <is>
          <t>Ping 192.168.77.11</t>
        </is>
      </c>
      <c r="M7" s="4" t="inlineStr">
        <is>
          <t>Do not enable DHCP/NAT on router</t>
        </is>
      </c>
    </row>
    <row r="8">
      <c r="A8" s="4" t="n">
        <v>5</v>
      </c>
      <c r="B8" s="4" t="inlineStr">
        <is>
          <t>CBL-PIR-CORE77-2-RTR77-12</t>
        </is>
      </c>
      <c r="C8" s="4" t="inlineStr">
        <is>
          <t>Planned</t>
        </is>
      </c>
      <c r="D8" s="4" t="inlineStr">
        <is>
          <t>PIR-LAB-CORE77.2</t>
        </is>
      </c>
      <c r="E8" s="4" t="inlineStr">
        <is>
          <t>Gi1/0/12</t>
        </is>
      </c>
      <c r="F8" s="4" t="inlineStr">
        <is>
          <t>PIR-LAB-RTR77.12</t>
        </is>
      </c>
      <c r="G8" s="4" t="inlineStr">
        <is>
          <t>Fa0/0</t>
        </is>
      </c>
      <c r="H8" s="4" t="inlineStr">
        <is>
          <t>Copper</t>
        </is>
      </c>
      <c r="I8" s="4" t="inlineStr">
        <is>
          <t>Yellow</t>
        </is>
      </c>
      <c r="J8" s="4" t="inlineStr">
        <is>
          <t>Access VLAN 77</t>
        </is>
      </c>
      <c r="K8" s="4" t="inlineStr">
        <is>
          <t>2811 router management</t>
        </is>
      </c>
      <c r="L8" s="4" t="inlineStr">
        <is>
          <t>Ping 192.168.77.12</t>
        </is>
      </c>
      <c r="M8" s="4" t="inlineStr">
        <is>
          <t>2811 FE port is 100M</t>
        </is>
      </c>
    </row>
    <row r="9">
      <c r="A9" s="4" t="n">
        <v>6</v>
      </c>
      <c r="B9" s="4" t="inlineStr">
        <is>
          <t>CBL-PIR-CORE77-2-VGW77-13</t>
        </is>
      </c>
      <c r="C9" s="4" t="inlineStr">
        <is>
          <t>Planned</t>
        </is>
      </c>
      <c r="D9" s="4" t="inlineStr">
        <is>
          <t>PIR-LAB-CORE77.2</t>
        </is>
      </c>
      <c r="E9" s="4" t="inlineStr">
        <is>
          <t>Gi1/0/13</t>
        </is>
      </c>
      <c r="F9" s="4" t="inlineStr">
        <is>
          <t>PIR-LAB-VGW77.13</t>
        </is>
      </c>
      <c r="G9" s="4" t="inlineStr">
        <is>
          <t>Fa0/0</t>
        </is>
      </c>
      <c r="H9" s="4" t="inlineStr">
        <is>
          <t>Copper</t>
        </is>
      </c>
      <c r="I9" s="4" t="inlineStr">
        <is>
          <t>Yellow</t>
        </is>
      </c>
      <c r="J9" s="4" t="inlineStr">
        <is>
          <t>Access VLAN 77</t>
        </is>
      </c>
      <c r="K9" s="4" t="inlineStr">
        <is>
          <t>2811 voice gateway management</t>
        </is>
      </c>
      <c r="L9" s="4" t="inlineStr">
        <is>
          <t>Ping 192.168.77.13</t>
        </is>
      </c>
      <c r="M9" s="4" t="inlineStr">
        <is>
          <t>Voice gateway role can change later</t>
        </is>
      </c>
    </row>
    <row r="10">
      <c r="A10" s="4" t="n">
        <v>7</v>
      </c>
      <c r="B10" s="4" t="inlineStr">
        <is>
          <t>CBL-PIR-CORE77-2-CUCM77-20</t>
        </is>
      </c>
      <c r="C10" s="4" t="inlineStr">
        <is>
          <t>Planned</t>
        </is>
      </c>
      <c r="D10" s="4" t="inlineStr">
        <is>
          <t>PIR-LAB-CORE77.2</t>
        </is>
      </c>
      <c r="E10" s="4" t="inlineStr">
        <is>
          <t>Gi1/0/20</t>
        </is>
      </c>
      <c r="F10" s="4" t="inlineStr">
        <is>
          <t>PIR-LAB-CUCM77.20</t>
        </is>
      </c>
      <c r="G10" s="4" t="inlineStr">
        <is>
          <t>eth0</t>
        </is>
      </c>
      <c r="H10" s="4" t="inlineStr">
        <is>
          <t>Copper</t>
        </is>
      </c>
      <c r="I10" s="4" t="inlineStr">
        <is>
          <t>Purple</t>
        </is>
      </c>
      <c r="J10" s="4" t="inlineStr">
        <is>
          <t>Access VLAN 77 initially</t>
        </is>
      </c>
      <c r="K10" s="4" t="inlineStr">
        <is>
          <t>CUCM server LAN</t>
        </is>
      </c>
      <c r="L10" s="4" t="inlineStr">
        <is>
          <t>Ping 192.168.77.20; web login reachable</t>
        </is>
      </c>
      <c r="M10" s="4" t="inlineStr">
        <is>
          <t>Later route phones from VLAN 20 to CUCM</t>
        </is>
      </c>
    </row>
  </sheetData>
  <autoFilter ref="A3:M12"/>
  <mergeCells count="2">
    <mergeCell ref="A2:M2"/>
    <mergeCell ref="A1:M1"/>
  </mergeCells>
  <conditionalFormatting sqref="A4:M4">
    <cfRule type="expression" priority="1" dxfId="0">
      <formula>$C4="Confirmed"</formula>
    </cfRule>
    <cfRule type="expression" priority="2" dxfId="1">
      <formula>$C4="Needs Check"</formula>
    </cfRule>
    <cfRule type="expression" priority="3" dxfId="2">
      <formula>$C4="Retired"</formula>
    </cfRule>
    <cfRule type="expression" priority="4" dxfId="3">
      <formula>$C4="Planned"</formula>
    </cfRule>
  </conditionalFormatting>
  <conditionalFormatting sqref="A5:M5">
    <cfRule type="expression" priority="5" dxfId="0">
      <formula>$C5="Confirmed"</formula>
    </cfRule>
    <cfRule type="expression" priority="6" dxfId="1">
      <formula>$C5="Needs Check"</formula>
    </cfRule>
    <cfRule type="expression" priority="7" dxfId="2">
      <formula>$C5="Retired"</formula>
    </cfRule>
    <cfRule type="expression" priority="8" dxfId="3">
      <formula>$C5="Planned"</formula>
    </cfRule>
  </conditionalFormatting>
  <conditionalFormatting sqref="A6:M6">
    <cfRule type="expression" priority="9" dxfId="0">
      <formula>$C6="Confirmed"</formula>
    </cfRule>
    <cfRule type="expression" priority="10" dxfId="1">
      <formula>$C6="Needs Check"</formula>
    </cfRule>
    <cfRule type="expression" priority="11" dxfId="2">
      <formula>$C6="Retired"</formula>
    </cfRule>
    <cfRule type="expression" priority="12" dxfId="3">
      <formula>$C6="Planned"</formula>
    </cfRule>
  </conditionalFormatting>
  <conditionalFormatting sqref="A7:M7">
    <cfRule type="expression" priority="13" dxfId="0">
      <formula>$C7="Confirmed"</formula>
    </cfRule>
    <cfRule type="expression" priority="14" dxfId="1">
      <formula>$C7="Needs Check"</formula>
    </cfRule>
    <cfRule type="expression" priority="15" dxfId="2">
      <formula>$C7="Retired"</formula>
    </cfRule>
    <cfRule type="expression" priority="16" dxfId="3">
      <formula>$C7="Planned"</formula>
    </cfRule>
  </conditionalFormatting>
  <conditionalFormatting sqref="A8:M8">
    <cfRule type="expression" priority="17" dxfId="0">
      <formula>$C8="Confirmed"</formula>
    </cfRule>
    <cfRule type="expression" priority="18" dxfId="1">
      <formula>$C8="Needs Check"</formula>
    </cfRule>
    <cfRule type="expression" priority="19" dxfId="2">
      <formula>$C8="Retired"</formula>
    </cfRule>
    <cfRule type="expression" priority="20" dxfId="3">
      <formula>$C8="Planned"</formula>
    </cfRule>
  </conditionalFormatting>
  <conditionalFormatting sqref="A9:M9">
    <cfRule type="expression" priority="21" dxfId="0">
      <formula>$C9="Confirmed"</formula>
    </cfRule>
    <cfRule type="expression" priority="22" dxfId="1">
      <formula>$C9="Needs Check"</formula>
    </cfRule>
    <cfRule type="expression" priority="23" dxfId="2">
      <formula>$C9="Retired"</formula>
    </cfRule>
    <cfRule type="expression" priority="24" dxfId="3">
      <formula>$C9="Planned"</formula>
    </cfRule>
  </conditionalFormatting>
  <conditionalFormatting sqref="A10:M10">
    <cfRule type="expression" priority="25" dxfId="0">
      <formula>$C10="Confirmed"</formula>
    </cfRule>
    <cfRule type="expression" priority="26" dxfId="1">
      <formula>$C10="Needs Check"</formula>
    </cfRule>
    <cfRule type="expression" priority="27" dxfId="2">
      <formula>$C10="Retired"</formula>
    </cfRule>
    <cfRule type="expression" priority="28" dxfId="3">
      <formula>$C10="Planned"</formula>
    </cfRule>
  </conditionalFormatting>
  <conditionalFormatting sqref="A11:M11">
    <cfRule type="expression" priority="29" dxfId="0">
      <formula>$C11="Confirmed"</formula>
    </cfRule>
    <cfRule type="expression" priority="30" dxfId="1">
      <formula>$C11="Needs Check"</formula>
    </cfRule>
    <cfRule type="expression" priority="31" dxfId="2">
      <formula>$C11="Retired"</formula>
    </cfRule>
    <cfRule type="expression" priority="32" dxfId="3">
      <formula>$C11="Planned"</formula>
    </cfRule>
  </conditionalFormatting>
  <conditionalFormatting sqref="A12:M12">
    <cfRule type="expression" priority="33" dxfId="0">
      <formula>$C12="Confirmed"</formula>
    </cfRule>
    <cfRule type="expression" priority="34" dxfId="1">
      <formula>$C12="Needs Check"</formula>
    </cfRule>
    <cfRule type="expression" priority="35" dxfId="2">
      <formula>$C12="Retired"</formula>
    </cfRule>
    <cfRule type="expression" priority="36" dxfId="3">
      <formula>$C12="Planned"</formula>
    </cfRule>
  </conditionalFormatting>
  <dataValidations count="1">
    <dataValidation sqref="C4:C12" showDropDown="0" showInputMessage="0" showErrorMessage="0" allowBlank="0" type="list">
      <formula1>"Planned,In Progress,Confirmed,Needs Check,Retired"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5" customWidth="1" min="4" max="4"/>
    <col width="10" customWidth="1" min="5" max="5"/>
    <col width="19" customWidth="1" min="6" max="6"/>
    <col width="21" customWidth="1" min="7" max="7"/>
    <col width="12" customWidth="1" min="8" max="8"/>
    <col width="26" customWidth="1" min="9" max="9"/>
    <col width="42" customWidth="1" min="10" max="10"/>
  </cols>
  <sheetData>
    <row r="1" ht="24" customHeight="1">
      <c r="A1" s="6" t="inlineStr">
        <is>
          <t>Device Inventory</t>
        </is>
      </c>
    </row>
    <row r="2" ht="32" customHeight="1">
      <c r="A2" s="7" t="inlineStr">
        <is>
          <t>TraceEveryLink 里保留带点号的显示名；如果 Cisco IOS hostname 不接受点号，用 Cisco-safe Hostname。</t>
        </is>
      </c>
    </row>
    <row r="3">
      <c r="A3" s="8" t="inlineStr">
        <is>
          <t>Role</t>
        </is>
      </c>
      <c r="B3" s="8" t="inlineStr">
        <is>
          <t>TraceEveryLink Name</t>
        </is>
      </c>
      <c r="C3" s="8" t="inlineStr">
        <is>
          <t>Cisco-safe Hostname</t>
        </is>
      </c>
      <c r="D3" s="8" t="inlineStr">
        <is>
          <t>Management IP</t>
        </is>
      </c>
      <c r="E3" s="8" t="inlineStr">
        <is>
          <t>Vendor</t>
        </is>
      </c>
      <c r="F3" s="8" t="inlineStr">
        <is>
          <t>Model</t>
        </is>
      </c>
      <c r="G3" s="8" t="inlineStr">
        <is>
          <t>Rack</t>
        </is>
      </c>
      <c r="H3" s="8" t="inlineStr">
        <is>
          <t>U Position</t>
        </is>
      </c>
      <c r="I3" s="8" t="inlineStr">
        <is>
          <t>Purpose</t>
        </is>
      </c>
      <c r="J3" s="8" t="inlineStr">
        <is>
          <t>Notes</t>
        </is>
      </c>
    </row>
    <row r="4">
      <c r="A4" s="4" t="inlineStr">
        <is>
          <t>Gateway</t>
        </is>
      </c>
      <c r="B4" s="4" t="inlineStr">
        <is>
          <t>PIR-LAB-GW77.1</t>
        </is>
      </c>
      <c r="C4" s="4" t="inlineStr">
        <is>
          <t>PIR-LAB-GW77-1</t>
        </is>
      </c>
      <c r="D4" s="4" t="inlineStr">
        <is>
          <t>192.168.77.1</t>
        </is>
      </c>
      <c r="E4" s="4" t="inlineStr">
        <is>
          <t>iStoreOS</t>
        </is>
      </c>
      <c r="F4" s="4" t="inlineStr">
        <is>
          <t>iStoreOS router</t>
        </is>
      </c>
      <c r="G4" s="4" t="inlineStr">
        <is>
          <t>External / upstream</t>
        </is>
      </c>
      <c r="H4" s="4" t="inlineStr"/>
      <c r="I4" s="4" t="inlineStr">
        <is>
          <t>VLAN 77 gateway and NAT</t>
        </is>
      </c>
      <c r="J4" s="4" t="inlineStr">
        <is>
          <t>WAN sits under existing 192.168.10.0/23 office network; LAN is 192.168.77.1 for PIR lab</t>
        </is>
      </c>
    </row>
    <row r="5">
      <c r="A5" s="4" t="inlineStr">
        <is>
          <t>Core switch</t>
        </is>
      </c>
      <c r="B5" s="4" t="inlineStr">
        <is>
          <t>PIR-LAB-CORE77.2</t>
        </is>
      </c>
      <c r="C5" s="4" t="inlineStr">
        <is>
          <t>PIR-LAB-CORE77-2</t>
        </is>
      </c>
      <c r="D5" s="4" t="inlineStr">
        <is>
          <t>192.168.77.2</t>
        </is>
      </c>
      <c r="E5" s="4" t="inlineStr">
        <is>
          <t>Cisco</t>
        </is>
      </c>
      <c r="F5" s="4" t="inlineStr">
        <is>
          <t>WS-C3750G-48TS-S</t>
        </is>
      </c>
      <c r="G5" s="4" t="inlineStr">
        <is>
          <t>PIR-LAB-R01</t>
        </is>
      </c>
      <c r="H5" s="4" t="inlineStr">
        <is>
          <t>U42</t>
        </is>
      </c>
      <c r="I5" s="4" t="inlineStr">
        <is>
          <t>Core / trunk center</t>
        </is>
      </c>
      <c r="J5" s="4" t="inlineStr">
        <is>
          <t>Confirm exact 3750 SKU from chassis label</t>
        </is>
      </c>
    </row>
    <row r="6">
      <c r="A6" s="4" t="inlineStr">
        <is>
          <t>Access switch</t>
        </is>
      </c>
      <c r="B6" s="4" t="inlineStr">
        <is>
          <t>PIR-LAB-ACC77.5</t>
        </is>
      </c>
      <c r="C6" s="4" t="inlineStr">
        <is>
          <t>PIR-LAB-ACC77-5</t>
        </is>
      </c>
      <c r="D6" s="4" t="inlineStr">
        <is>
          <t>192.168.77.5</t>
        </is>
      </c>
      <c r="E6" s="4" t="inlineStr">
        <is>
          <t>Cisco</t>
        </is>
      </c>
      <c r="F6" s="4" t="inlineStr">
        <is>
          <t>WS-C2960X-48FPS-L</t>
        </is>
      </c>
      <c r="G6" s="4" t="inlineStr">
        <is>
          <t>PIR-LAB-R01</t>
        </is>
      </c>
      <c r="H6" s="4" t="inlineStr">
        <is>
          <t>U39</t>
        </is>
      </c>
      <c r="I6" s="4" t="inlineStr">
        <is>
          <t>Access switch 1</t>
        </is>
      </c>
      <c r="J6" s="4" t="inlineStr">
        <is>
          <t>Office / phone endpoints</t>
        </is>
      </c>
    </row>
    <row r="7">
      <c r="A7" s="4" t="inlineStr">
        <is>
          <t>Access switch</t>
        </is>
      </c>
      <c r="B7" s="4" t="inlineStr">
        <is>
          <t>PIR-LAB-ACC77.6</t>
        </is>
      </c>
      <c r="C7" s="4" t="inlineStr">
        <is>
          <t>PIR-LAB-ACC77-6</t>
        </is>
      </c>
      <c r="D7" s="4" t="inlineStr">
        <is>
          <t>192.168.77.6</t>
        </is>
      </c>
      <c r="E7" s="4" t="inlineStr">
        <is>
          <t>Cisco</t>
        </is>
      </c>
      <c r="F7" s="4" t="inlineStr">
        <is>
          <t>WS-C2960X-48FPS-L</t>
        </is>
      </c>
      <c r="G7" s="4" t="inlineStr">
        <is>
          <t>PIR-LAB-R01</t>
        </is>
      </c>
      <c r="H7" s="4" t="inlineStr">
        <is>
          <t>U38</t>
        </is>
      </c>
      <c r="I7" s="4" t="inlineStr">
        <is>
          <t>Access switch 2</t>
        </is>
      </c>
      <c r="J7" s="4" t="inlineStr">
        <is>
          <t>Spare access / trunk experiments</t>
        </is>
      </c>
    </row>
    <row r="8">
      <c r="A8" s="4" t="inlineStr">
        <is>
          <t>Router</t>
        </is>
      </c>
      <c r="B8" s="4" t="inlineStr">
        <is>
          <t>PIR-LAB-RTR77.11</t>
        </is>
      </c>
      <c r="C8" s="4" t="inlineStr">
        <is>
          <t>PIR-LAB-RTR77-11</t>
        </is>
      </c>
      <c r="D8" s="4" t="inlineStr">
        <is>
          <t>192.168.77.11</t>
        </is>
      </c>
      <c r="E8" s="4" t="inlineStr">
        <is>
          <t>Cisco</t>
        </is>
      </c>
      <c r="F8" s="4" t="inlineStr">
        <is>
          <t>CISCO1911/K9</t>
        </is>
      </c>
      <c r="G8" s="4" t="inlineStr">
        <is>
          <t>PIR-LAB-R01</t>
        </is>
      </c>
      <c r="H8" s="4" t="inlineStr">
        <is>
          <t>U36</t>
        </is>
      </c>
      <c r="I8" s="4" t="inlineStr">
        <is>
          <t>Router lab</t>
        </is>
      </c>
      <c r="J8" s="4" t="inlineStr">
        <is>
          <t>Confirm exact 1900-series SKU from chassis label</t>
        </is>
      </c>
    </row>
    <row r="9">
      <c r="A9" s="4" t="inlineStr">
        <is>
          <t>Router</t>
        </is>
      </c>
      <c r="B9" s="4" t="inlineStr">
        <is>
          <t>PIR-LAB-RTR77.12</t>
        </is>
      </c>
      <c r="C9" s="4" t="inlineStr">
        <is>
          <t>PIR-LAB-RTR77-12</t>
        </is>
      </c>
      <c r="D9" s="4" t="inlineStr">
        <is>
          <t>192.168.77.12</t>
        </is>
      </c>
      <c r="E9" s="4" t="inlineStr">
        <is>
          <t>Cisco</t>
        </is>
      </c>
      <c r="F9" s="4" t="inlineStr">
        <is>
          <t>CISCO2811/K9</t>
        </is>
      </c>
      <c r="G9" s="4" t="inlineStr">
        <is>
          <t>PIR-LAB-R01</t>
        </is>
      </c>
      <c r="H9" s="4" t="inlineStr">
        <is>
          <t>U35</t>
        </is>
      </c>
      <c r="I9" s="4" t="inlineStr">
        <is>
          <t>Router lab</t>
        </is>
      </c>
      <c r="J9" s="4" t="inlineStr">
        <is>
          <t>2811 routed-network experiments</t>
        </is>
      </c>
    </row>
    <row r="10">
      <c r="A10" s="4" t="inlineStr">
        <is>
          <t>Voice gateway</t>
        </is>
      </c>
      <c r="B10" s="4" t="inlineStr">
        <is>
          <t>PIR-LAB-VGW77.13</t>
        </is>
      </c>
      <c r="C10" s="4" t="inlineStr">
        <is>
          <t>PIR-LAB-VGW77-13</t>
        </is>
      </c>
      <c r="D10" s="4" t="inlineStr">
        <is>
          <t>192.168.77.13</t>
        </is>
      </c>
      <c r="E10" s="4" t="inlineStr">
        <is>
          <t>Cisco</t>
        </is>
      </c>
      <c r="F10" s="4" t="inlineStr">
        <is>
          <t>CISCO2811/K9</t>
        </is>
      </c>
      <c r="G10" s="4" t="inlineStr">
        <is>
          <t>PIR-LAB-R01</t>
        </is>
      </c>
      <c r="H10" s="4" t="inlineStr">
        <is>
          <t>U34</t>
        </is>
      </c>
      <c r="I10" s="4" t="inlineStr">
        <is>
          <t>Voice gateway candidate</t>
        </is>
      </c>
      <c r="J10" s="4" t="inlineStr">
        <is>
          <t>For CUCM, SRST, FXO/FXS, SIP gateway tests</t>
        </is>
      </c>
    </row>
    <row r="11">
      <c r="A11" s="4" t="inlineStr">
        <is>
          <t>CUCM server</t>
        </is>
      </c>
      <c r="B11" s="4" t="inlineStr">
        <is>
          <t>PIR-LAB-CUCM77.20</t>
        </is>
      </c>
      <c r="C11" s="4" t="inlineStr">
        <is>
          <t>PIR-LAB-CUCM77-20</t>
        </is>
      </c>
      <c r="D11" s="4" t="inlineStr">
        <is>
          <t>192.168.77.20</t>
        </is>
      </c>
      <c r="E11" s="4" t="inlineStr">
        <is>
          <t>Cisco</t>
        </is>
      </c>
      <c r="F11" s="4" t="inlineStr">
        <is>
          <t>CUCM 7.4</t>
        </is>
      </c>
      <c r="G11" s="4" t="inlineStr">
        <is>
          <t>PIR-LAB-R01</t>
        </is>
      </c>
      <c r="H11" s="4" t="inlineStr">
        <is>
          <t>U31-U32</t>
        </is>
      </c>
      <c r="I11" s="4" t="inlineStr">
        <is>
          <t>Call manager</t>
        </is>
      </c>
      <c r="J11" s="4" t="inlineStr">
        <is>
          <t>Keep on VLAN 77 first; move or route to voice VLAN later</t>
        </is>
      </c>
    </row>
  </sheetData>
  <autoFilter ref="A3:J13"/>
  <mergeCells count="2">
    <mergeCell ref="A1:J1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33" customWidth="1" min="5" max="5"/>
    <col width="16" customWidth="1" min="6" max="6"/>
    <col width="42" customWidth="1" min="7" max="7"/>
  </cols>
  <sheetData>
    <row r="1" ht="24" customHeight="1">
      <c r="A1" s="6" t="inlineStr">
        <is>
          <t>VLAN IP Plan</t>
        </is>
      </c>
    </row>
    <row r="2" ht="32" customHeight="1">
      <c r="A2" s="7" t="inlineStr">
        <is>
          <t>先只启用 VLAN 77 管理网；其他 VLAN 等所有设备可管理后再逐步打开。</t>
        </is>
      </c>
    </row>
    <row r="3">
      <c r="A3" s="8" t="inlineStr">
        <is>
          <t>VLAN</t>
        </is>
      </c>
      <c r="B3" s="8" t="inlineStr">
        <is>
          <t>Name</t>
        </is>
      </c>
      <c r="C3" s="8" t="inlineStr">
        <is>
          <t>Subnet</t>
        </is>
      </c>
      <c r="D3" s="8" t="inlineStr">
        <is>
          <t>Gateway</t>
        </is>
      </c>
      <c r="E3" s="8" t="inlineStr">
        <is>
          <t>Purpose</t>
        </is>
      </c>
      <c r="F3" s="8" t="inlineStr">
        <is>
          <t>Phase</t>
        </is>
      </c>
      <c r="G3" s="8" t="inlineStr">
        <is>
          <t>Notes</t>
        </is>
      </c>
    </row>
    <row r="4">
      <c r="A4" s="4" t="n">
        <v>77</v>
      </c>
      <c r="B4" s="4" t="inlineStr">
        <is>
          <t>MGMT</t>
        </is>
      </c>
      <c r="C4" s="4" t="inlineStr">
        <is>
          <t>192.168.77.0/24</t>
        </is>
      </c>
      <c r="D4" s="4" t="inlineStr">
        <is>
          <t>192.168.77.1</t>
        </is>
      </c>
      <c r="E4" s="4" t="inlineStr">
        <is>
          <t>Device management</t>
        </is>
      </c>
      <c r="F4" s="4" t="inlineStr">
        <is>
          <t>Phase 1 active</t>
        </is>
      </c>
      <c r="G4" s="4" t="inlineStr">
        <is>
          <t>Keep static infra in .1-.99; DHCP clients .100-.199</t>
        </is>
      </c>
    </row>
    <row r="5">
      <c r="A5" s="4" t="n">
        <v>78</v>
      </c>
      <c r="B5" s="4" t="inlineStr">
        <is>
          <t>LAB-CLIENT</t>
        </is>
      </c>
      <c r="C5" s="4" t="inlineStr">
        <is>
          <t>192.168.78.0/24</t>
        </is>
      </c>
      <c r="D5" s="4" t="inlineStr">
        <is>
          <t>192.168.78.1</t>
        </is>
      </c>
      <c r="E5" s="4" t="inlineStr">
        <is>
          <t>Lab PCs and test clients</t>
        </is>
      </c>
      <c r="F5" s="4" t="inlineStr">
        <is>
          <t>Future</t>
        </is>
      </c>
      <c r="G5" s="4" t="inlineStr">
        <is>
          <t>Avoids occupied 192.168.10.0/23</t>
        </is>
      </c>
    </row>
    <row r="6">
      <c r="A6" s="4" t="n">
        <v>79</v>
      </c>
      <c r="B6" s="4" t="inlineStr">
        <is>
          <t>VOICE</t>
        </is>
      </c>
      <c r="C6" s="4" t="inlineStr">
        <is>
          <t>192.168.79.0/24</t>
        </is>
      </c>
      <c r="D6" s="4" t="inlineStr">
        <is>
          <t>192.168.79.1</t>
        </is>
      </c>
      <c r="E6" s="4" t="inlineStr">
        <is>
          <t>IP phones and CUCM/SRST labs</t>
        </is>
      </c>
      <c r="F6" s="4" t="inlineStr">
        <is>
          <t>Future</t>
        </is>
      </c>
      <c r="G6" s="4" t="inlineStr">
        <is>
          <t>Use as voice VLAN on access ports later</t>
        </is>
      </c>
    </row>
    <row r="7">
      <c r="A7" s="4" t="n">
        <v>80</v>
      </c>
      <c r="B7" s="4" t="inlineStr">
        <is>
          <t>LAB-RTR</t>
        </is>
      </c>
      <c r="C7" s="4" t="inlineStr">
        <is>
          <t>192.168.80.0/24</t>
        </is>
      </c>
      <c r="D7" s="4" t="inlineStr">
        <is>
          <t>192.168.80.1</t>
        </is>
      </c>
      <c r="E7" s="4" t="inlineStr">
        <is>
          <t>Routed lab segments</t>
        </is>
      </c>
      <c r="F7" s="4" t="inlineStr">
        <is>
          <t>Future</t>
        </is>
      </c>
      <c r="G7" s="4" t="inlineStr">
        <is>
          <t>Good for routed lab links and experiments</t>
        </is>
      </c>
    </row>
    <row r="8">
      <c r="A8" s="4" t="n">
        <v>81</v>
      </c>
      <c r="B8" s="4" t="inlineStr">
        <is>
          <t>SERVER</t>
        </is>
      </c>
      <c r="C8" s="4" t="inlineStr">
        <is>
          <t>192.168.81.0/24</t>
        </is>
      </c>
      <c r="D8" s="4" t="inlineStr">
        <is>
          <t>192.168.81.1</t>
        </is>
      </c>
      <c r="E8" s="4" t="inlineStr">
        <is>
          <t>Servers, VMs, and services</t>
        </is>
      </c>
      <c r="F8" s="4" t="inlineStr">
        <is>
          <t>Future</t>
        </is>
      </c>
      <c r="G8" s="4" t="inlineStr">
        <is>
          <t>Put monitoring, TFTP, syslog, backup boxes here</t>
        </is>
      </c>
    </row>
    <row r="9">
      <c r="A9" s="4" t="n">
        <v>82</v>
      </c>
      <c r="B9" s="4" t="inlineStr">
        <is>
          <t>WIFI-IOT</t>
        </is>
      </c>
      <c r="C9" s="4" t="inlineStr">
        <is>
          <t>192.168.82.0/24</t>
        </is>
      </c>
      <c r="D9" s="4" t="inlineStr">
        <is>
          <t>192.168.82.1</t>
        </is>
      </c>
      <c r="E9" s="4" t="inlineStr">
        <is>
          <t>Wi-Fi, IoT, and temporary devices</t>
        </is>
      </c>
      <c r="F9" s="4" t="inlineStr">
        <is>
          <t>Future</t>
        </is>
      </c>
      <c r="G9" s="4" t="inlineStr">
        <is>
          <t>Replaces old 192.168.50.0/24 idea</t>
        </is>
      </c>
    </row>
  </sheetData>
  <autoFilter ref="A3:G9"/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8" customWidth="1" min="3" max="3"/>
    <col width="13" customWidth="1" min="4" max="4"/>
    <col width="12" customWidth="1" min="5" max="5"/>
    <col width="19" customWidth="1" min="6" max="6"/>
    <col width="19" customWidth="1" min="7" max="7"/>
    <col width="26" customWidth="1" min="8" max="8"/>
    <col width="26" customWidth="1" min="9" max="9"/>
    <col width="38" customWidth="1" min="10" max="10"/>
  </cols>
  <sheetData>
    <row r="1" ht="24" customHeight="1">
      <c r="A1" s="6" t="inlineStr">
        <is>
          <t>Switch Port Plan</t>
        </is>
      </c>
    </row>
    <row r="2" ht="32" customHeight="1">
      <c r="A2" s="7" t="inlineStr">
        <is>
          <t>核心口先按简单可通方案配置；后续要玩多 VLAN 时再把上联切 trunk。</t>
        </is>
      </c>
    </row>
    <row r="3">
      <c r="A3" s="8" t="inlineStr">
        <is>
          <t>Device</t>
        </is>
      </c>
      <c r="B3" s="8" t="inlineStr">
        <is>
          <t>Port / Range</t>
        </is>
      </c>
      <c r="C3" s="8" t="inlineStr">
        <is>
          <t>Mode</t>
        </is>
      </c>
      <c r="D3" s="8" t="inlineStr">
        <is>
          <t>Access VLAN</t>
        </is>
      </c>
      <c r="E3" s="8" t="inlineStr">
        <is>
          <t>Voice VLAN</t>
        </is>
      </c>
      <c r="F3" s="8" t="inlineStr">
        <is>
          <t>Native VLAN</t>
        </is>
      </c>
      <c r="G3" s="8" t="inlineStr">
        <is>
          <t>Allowed VLANs</t>
        </is>
      </c>
      <c r="H3" s="8" t="inlineStr">
        <is>
          <t>Connected To</t>
        </is>
      </c>
      <c r="I3" s="8" t="inlineStr">
        <is>
          <t>Purpose</t>
        </is>
      </c>
      <c r="J3" s="8" t="inlineStr">
        <is>
          <t>Notes</t>
        </is>
      </c>
    </row>
    <row r="4">
      <c r="A4" s="4" t="inlineStr">
        <is>
          <t>PIR-LAB-CORE77.2</t>
        </is>
      </c>
      <c r="B4" s="4" t="inlineStr">
        <is>
          <t>Gi1/0/48</t>
        </is>
      </c>
      <c r="C4" s="4" t="inlineStr">
        <is>
          <t>Access first / trunk later</t>
        </is>
      </c>
      <c r="D4" s="4" t="inlineStr">
        <is>
          <t>77 now</t>
        </is>
      </c>
      <c r="E4" s="4" t="inlineStr"/>
      <c r="F4" s="4" t="inlineStr">
        <is>
          <t>77 if trunk later</t>
        </is>
      </c>
      <c r="G4" s="4" t="inlineStr">
        <is>
          <t>77,78,79,80,81,82</t>
        </is>
      </c>
      <c r="H4" s="4" t="inlineStr">
        <is>
          <t>PIR-LAB-GW77.1 lan1</t>
        </is>
      </c>
      <c r="I4" s="4" t="inlineStr">
        <is>
          <t>Uplink to iStoreOS</t>
        </is>
      </c>
      <c r="J4" s="4" t="inlineStr">
        <is>
          <t>Start simple with access VLAN 77; if trunking to iStoreOS later, avoid upstream 192.168.10.0/23</t>
        </is>
      </c>
    </row>
    <row r="5">
      <c r="A5" s="4" t="inlineStr">
        <is>
          <t>PIR-LAB-CORE77.2</t>
        </is>
      </c>
      <c r="B5" s="4" t="inlineStr">
        <is>
          <t>Gi1/0/51</t>
        </is>
      </c>
      <c r="C5" s="4" t="inlineStr">
        <is>
          <t>Trunk</t>
        </is>
      </c>
      <c r="D5" s="4" t="inlineStr"/>
      <c r="E5" s="4" t="inlineStr"/>
      <c r="F5" s="4" t="n">
        <v>77</v>
      </c>
      <c r="G5" s="4" t="inlineStr">
        <is>
          <t>77,78,79,80,81,82</t>
        </is>
      </c>
      <c r="H5" s="4" t="inlineStr">
        <is>
          <t>PIR-LAB-ACC77.5 Gi1/0/49</t>
        </is>
      </c>
      <c r="I5" s="4" t="inlineStr">
        <is>
          <t>Access uplink</t>
        </is>
      </c>
      <c r="J5" s="4" t="inlineStr">
        <is>
          <t>Core to 2960-X #1</t>
        </is>
      </c>
    </row>
    <row r="6">
      <c r="A6" s="4" t="inlineStr">
        <is>
          <t>PIR-LAB-CORE77.2</t>
        </is>
      </c>
      <c r="B6" s="4" t="inlineStr">
        <is>
          <t>Gi1/0/52</t>
        </is>
      </c>
      <c r="C6" s="4" t="inlineStr">
        <is>
          <t>Trunk</t>
        </is>
      </c>
      <c r="D6" s="4" t="inlineStr"/>
      <c r="E6" s="4" t="inlineStr"/>
      <c r="F6" s="4" t="n">
        <v>77</v>
      </c>
      <c r="G6" s="4" t="inlineStr">
        <is>
          <t>77,78,79,80,81,82</t>
        </is>
      </c>
      <c r="H6" s="4" t="inlineStr">
        <is>
          <t>PIR-LAB-ACC77.6 Gi1/0/49</t>
        </is>
      </c>
      <c r="I6" s="4" t="inlineStr">
        <is>
          <t>Access uplink</t>
        </is>
      </c>
      <c r="J6" s="4" t="inlineStr">
        <is>
          <t>Core to 2960-X #2</t>
        </is>
      </c>
    </row>
    <row r="7">
      <c r="A7" s="4" t="inlineStr">
        <is>
          <t>PIR-LAB-CORE77.2</t>
        </is>
      </c>
      <c r="B7" s="4" t="inlineStr">
        <is>
          <t>Gi1/0/11</t>
        </is>
      </c>
      <c r="C7" s="4" t="inlineStr">
        <is>
          <t>Access</t>
        </is>
      </c>
      <c r="D7" s="4" t="inlineStr">
        <is>
          <t>77</t>
        </is>
      </c>
      <c r="E7" s="4" t="inlineStr"/>
      <c r="F7" s="4" t="inlineStr"/>
      <c r="G7" s="4" t="inlineStr"/>
      <c r="H7" s="4" t="inlineStr">
        <is>
          <t>PIR-LAB-RTR77.11 Gi0/0</t>
        </is>
      </c>
      <c r="I7" s="4" t="inlineStr">
        <is>
          <t>1911 management</t>
        </is>
      </c>
      <c r="J7" s="4" t="inlineStr">
        <is>
          <t>Router default route to 192.168.77.1</t>
        </is>
      </c>
    </row>
    <row r="8">
      <c r="A8" s="4" t="inlineStr">
        <is>
          <t>PIR-LAB-CORE77.2</t>
        </is>
      </c>
      <c r="B8" s="4" t="inlineStr">
        <is>
          <t>Gi1/0/12</t>
        </is>
      </c>
      <c r="C8" s="4" t="inlineStr">
        <is>
          <t>Access</t>
        </is>
      </c>
      <c r="D8" s="4" t="inlineStr">
        <is>
          <t>77</t>
        </is>
      </c>
      <c r="E8" s="4" t="inlineStr"/>
      <c r="F8" s="4" t="inlineStr"/>
      <c r="G8" s="4" t="inlineStr"/>
      <c r="H8" s="4" t="inlineStr">
        <is>
          <t>PIR-LAB-RTR77.12 Fa0/0</t>
        </is>
      </c>
      <c r="I8" s="4" t="inlineStr">
        <is>
          <t>2811 management</t>
        </is>
      </c>
      <c r="J8" s="4" t="inlineStr">
        <is>
          <t>100M endpoint is fine</t>
        </is>
      </c>
    </row>
    <row r="9">
      <c r="A9" s="4" t="inlineStr">
        <is>
          <t>PIR-LAB-CORE77.2</t>
        </is>
      </c>
      <c r="B9" s="4" t="inlineStr">
        <is>
          <t>Gi1/0/13</t>
        </is>
      </c>
      <c r="C9" s="4" t="inlineStr">
        <is>
          <t>Access</t>
        </is>
      </c>
      <c r="D9" s="4" t="n">
        <v>78</v>
      </c>
      <c r="E9" s="4" t="n">
        <v>79</v>
      </c>
      <c r="F9" s="4" t="inlineStr"/>
      <c r="G9" s="4" t="inlineStr"/>
      <c r="H9" s="4" t="inlineStr">
        <is>
          <t>PIR-LAB-VGW77.13 Fa0/0</t>
        </is>
      </c>
      <c r="I9" s="4" t="inlineStr">
        <is>
          <t>Voice gateway management</t>
        </is>
      </c>
      <c r="J9" s="4" t="inlineStr">
        <is>
          <t>Can later join voice lab</t>
        </is>
      </c>
    </row>
    <row r="10">
      <c r="A10" s="4" t="inlineStr">
        <is>
          <t>PIR-LAB-CORE77.2</t>
        </is>
      </c>
      <c r="B10" s="4" t="inlineStr">
        <is>
          <t>Gi1/0/20</t>
        </is>
      </c>
      <c r="C10" s="4" t="inlineStr">
        <is>
          <t>Access</t>
        </is>
      </c>
      <c r="D10" s="4" t="inlineStr">
        <is>
          <t>77</t>
        </is>
      </c>
      <c r="E10" s="4" t="inlineStr"/>
      <c r="F10" s="4" t="inlineStr"/>
      <c r="G10" s="4" t="inlineStr"/>
      <c r="H10" s="4" t="inlineStr">
        <is>
          <t>PIR-LAB-CUCM77.20 eth0</t>
        </is>
      </c>
      <c r="I10" s="4" t="inlineStr">
        <is>
          <t>CUCM management/LAN</t>
        </is>
      </c>
      <c r="J10" s="4" t="inlineStr">
        <is>
          <t>Keep stable before phone testing</t>
        </is>
      </c>
    </row>
    <row r="11">
      <c r="A11" s="4" t="inlineStr">
        <is>
          <t>PIR-LAB-ACC77.5</t>
        </is>
      </c>
      <c r="B11" s="4" t="inlineStr">
        <is>
          <t>Gi1/0/1-Gi1/0/24</t>
        </is>
      </c>
      <c r="C11" s="4" t="inlineStr">
        <is>
          <t>Access</t>
        </is>
      </c>
      <c r="D11" s="4" t="n">
        <v>78</v>
      </c>
      <c r="E11" s="4" t="inlineStr"/>
      <c r="F11" s="4" t="inlineStr"/>
      <c r="G11" s="4" t="inlineStr"/>
      <c r="H11" s="4" t="inlineStr">
        <is>
          <t>Office/test endpoints</t>
        </is>
      </c>
      <c r="I11" s="4" t="inlineStr">
        <is>
          <t>Client access</t>
        </is>
      </c>
      <c r="J11" s="4" t="inlineStr">
        <is>
          <t>Phase 2</t>
        </is>
      </c>
    </row>
    <row r="12">
      <c r="A12" s="4" t="inlineStr">
        <is>
          <t>PIR-LAB-ACC77.5</t>
        </is>
      </c>
      <c r="B12" s="4" t="inlineStr">
        <is>
          <t>Gi1/0/25-Gi1/0/36</t>
        </is>
      </c>
      <c r="C12" s="4" t="inlineStr">
        <is>
          <t>Access + voice</t>
        </is>
      </c>
      <c r="D12" s="4" t="n">
        <v>78</v>
      </c>
      <c r="E12" s="4" t="n">
        <v>79</v>
      </c>
      <c r="F12" s="4" t="inlineStr"/>
      <c r="G12" s="4" t="inlineStr"/>
      <c r="H12" s="4" t="inlineStr">
        <is>
          <t>IP phone + PC</t>
        </is>
      </c>
      <c r="I12" s="4" t="inlineStr">
        <is>
          <t>Voice access</t>
        </is>
      </c>
      <c r="J12" s="4" t="inlineStr">
        <is>
          <t>Phase 2</t>
        </is>
      </c>
    </row>
    <row r="13">
      <c r="A13" s="4" t="inlineStr">
        <is>
          <t>PIR-LAB-ACC77.5</t>
        </is>
      </c>
      <c r="B13" s="4" t="inlineStr">
        <is>
          <t>Gi1/0/37-Gi1/0/48</t>
        </is>
      </c>
      <c r="C13" s="4" t="inlineStr">
        <is>
          <t>Access</t>
        </is>
      </c>
      <c r="D13" s="4" t="n">
        <v>82</v>
      </c>
      <c r="E13" s="4" t="inlineStr"/>
      <c r="F13" s="4" t="inlineStr"/>
      <c r="G13" s="4" t="inlineStr"/>
      <c r="H13" s="4" t="inlineStr">
        <is>
          <t>Temporary devices</t>
        </is>
      </c>
      <c r="I13" s="4" t="inlineStr">
        <is>
          <t>Wi-Fi/IoT/temp</t>
        </is>
      </c>
      <c r="J13" s="4" t="inlineStr">
        <is>
          <t>Phase 2</t>
        </is>
      </c>
    </row>
    <row r="14">
      <c r="A14" s="4" t="inlineStr">
        <is>
          <t>PIR-LAB-ACC77.6</t>
        </is>
      </c>
      <c r="B14" s="4" t="inlineStr">
        <is>
          <t>Gi1/0/1-Gi1/0/24</t>
        </is>
      </c>
      <c r="C14" s="4" t="inlineStr">
        <is>
          <t>Access</t>
        </is>
      </c>
      <c r="D14" s="4" t="n">
        <v>78</v>
      </c>
      <c r="E14" s="4" t="inlineStr"/>
      <c r="F14" s="4" t="inlineStr"/>
      <c r="G14" s="4" t="inlineStr"/>
      <c r="H14" s="4" t="inlineStr">
        <is>
          <t>Office/test endpoints</t>
        </is>
      </c>
      <c r="I14" s="4" t="inlineStr">
        <is>
          <t>Client access</t>
        </is>
      </c>
      <c r="J14" s="4" t="inlineStr">
        <is>
          <t>Phase 2</t>
        </is>
      </c>
    </row>
    <row r="15">
      <c r="A15" s="4" t="inlineStr">
        <is>
          <t>PIR-LAB-ACC77.6</t>
        </is>
      </c>
      <c r="B15" s="4" t="inlineStr">
        <is>
          <t>Gi1/0/25-Gi1/0/36</t>
        </is>
      </c>
      <c r="C15" s="4" t="inlineStr">
        <is>
          <t>Access + voice</t>
        </is>
      </c>
      <c r="D15" s="4" t="n">
        <v>78</v>
      </c>
      <c r="E15" s="4" t="n">
        <v>79</v>
      </c>
      <c r="F15" s="4" t="inlineStr"/>
      <c r="G15" s="4" t="inlineStr"/>
      <c r="H15" s="4" t="inlineStr">
        <is>
          <t>IP phone + PC</t>
        </is>
      </c>
      <c r="I15" s="4" t="inlineStr">
        <is>
          <t>Voice access</t>
        </is>
      </c>
      <c r="J15" s="4" t="inlineStr">
        <is>
          <t>Phase 2</t>
        </is>
      </c>
    </row>
    <row r="16">
      <c r="A16" s="4" t="inlineStr">
        <is>
          <t>PIR-LAB-ACC77.6</t>
        </is>
      </c>
      <c r="B16" s="4" t="inlineStr">
        <is>
          <t>Gi1/0/37-Gi1/0/48</t>
        </is>
      </c>
      <c r="C16" s="4" t="inlineStr">
        <is>
          <t>Access</t>
        </is>
      </c>
      <c r="D16" s="4" t="inlineStr">
        <is>
          <t>80 or 82</t>
        </is>
      </c>
      <c r="E16" s="4" t="inlineStr"/>
      <c r="F16" s="4" t="inlineStr"/>
      <c r="G16" s="4" t="inlineStr"/>
      <c r="H16" s="4" t="inlineStr">
        <is>
          <t>Lab/temp devices</t>
        </is>
      </c>
      <c r="I16" s="4" t="inlineStr">
        <is>
          <t>Flexible spare block</t>
        </is>
      </c>
      <c r="J16" s="4" t="inlineStr">
        <is>
          <t>Label before use</t>
        </is>
      </c>
    </row>
  </sheetData>
  <autoFilter ref="A3:J21"/>
  <mergeCells count="2">
    <mergeCell ref="A1:J1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42" customWidth="1" min="3" max="3"/>
    <col width="42" customWidth="1" min="4" max="4"/>
    <col width="10" customWidth="1" min="5" max="5"/>
    <col width="42" customWidth="1" min="6" max="6"/>
  </cols>
  <sheetData>
    <row r="1" ht="24" customHeight="1">
      <c r="A1" s="6" t="inlineStr">
        <is>
          <t>Config Checklist</t>
        </is>
      </c>
    </row>
    <row r="2" ht="32" customHeight="1">
      <c r="A2" s="7" t="inlineStr">
        <is>
          <t>把 Status 当现场配置进度用；强密码、真实 SNMP、NTP、备份策略后续再补。</t>
        </is>
      </c>
    </row>
    <row r="3">
      <c r="A3" s="8" t="inlineStr">
        <is>
          <t>Device</t>
        </is>
      </c>
      <c r="B3" s="8" t="inlineStr">
        <is>
          <t>Area</t>
        </is>
      </c>
      <c r="C3" s="8" t="inlineStr">
        <is>
          <t>Task</t>
        </is>
      </c>
      <c r="D3" s="8" t="inlineStr">
        <is>
          <t>Command / Target</t>
        </is>
      </c>
      <c r="E3" s="8" t="inlineStr">
        <is>
          <t>Status</t>
        </is>
      </c>
      <c r="F3" s="8" t="inlineStr">
        <is>
          <t>Notes</t>
        </is>
      </c>
    </row>
    <row r="4">
      <c r="A4" s="4" t="inlineStr">
        <is>
          <t>PIR-LAB-CORE77.2</t>
        </is>
      </c>
      <c r="B4" s="4" t="inlineStr">
        <is>
          <t>Base identity</t>
        </is>
      </c>
      <c r="C4" s="4" t="inlineStr">
        <is>
          <t>Set hostname</t>
        </is>
      </c>
      <c r="D4" s="4" t="inlineStr">
        <is>
          <t>hostname PIR-LAB-CORE77-2</t>
        </is>
      </c>
      <c r="E4" s="4" t="inlineStr">
        <is>
          <t>Planned</t>
        </is>
      </c>
      <c r="F4" s="4" t="inlineStr">
        <is>
          <t>Use hyphen form if IOS rejects dot in hostname</t>
        </is>
      </c>
    </row>
    <row r="5">
      <c r="A5" s="4" t="inlineStr">
        <is>
          <t>PIR-LAB-CORE77.2</t>
        </is>
      </c>
      <c r="B5" s="4" t="inlineStr">
        <is>
          <t>Management</t>
        </is>
      </c>
      <c r="C5" s="4" t="inlineStr">
        <is>
          <t>Configure management IP</t>
        </is>
      </c>
      <c r="D5" s="4" t="inlineStr">
        <is>
          <t>VLAN 77 / management interface -&gt; 192.168.77.2/24; gateway 192.168.77.1</t>
        </is>
      </c>
      <c r="E5" s="4" t="inlineStr">
        <is>
          <t>Planned</t>
        </is>
      </c>
      <c r="F5" s="4" t="inlineStr">
        <is>
          <t>Use interface VLAN 77 for switches; routed interface for routers</t>
        </is>
      </c>
    </row>
    <row r="6">
      <c r="A6" s="4" t="inlineStr">
        <is>
          <t>PIR-LAB-CORE77.2</t>
        </is>
      </c>
      <c r="B6" s="4" t="inlineStr">
        <is>
          <t>Security</t>
        </is>
      </c>
      <c r="C6" s="4" t="inlineStr">
        <is>
          <t>Create local admin and enable remote access</t>
        </is>
      </c>
      <c r="D6" s="4" t="inlineStr">
        <is>
          <t>username admin privilege 15 secret &lt;strong-password&gt;; transport input ssh telnet</t>
        </is>
      </c>
      <c r="E6" s="4" t="inlineStr">
        <is>
          <t>Planned</t>
        </is>
      </c>
      <c r="F6" s="4" t="inlineStr">
        <is>
          <t>Prefer SSH once crypto keys are set</t>
        </is>
      </c>
    </row>
    <row r="7">
      <c r="A7" s="4" t="inlineStr">
        <is>
          <t>PIR-LAB-CORE77.2</t>
        </is>
      </c>
      <c r="B7" s="4" t="inlineStr">
        <is>
          <t>Save</t>
        </is>
      </c>
      <c r="C7" s="4" t="inlineStr">
        <is>
          <t>Save config</t>
        </is>
      </c>
      <c r="D7" s="4" t="inlineStr">
        <is>
          <t>write memory</t>
        </is>
      </c>
      <c r="E7" s="4" t="inlineStr">
        <is>
          <t>Planned</t>
        </is>
      </c>
      <c r="F7" s="4" t="inlineStr">
        <is>
          <t>Record final running-config backup later</t>
        </is>
      </c>
    </row>
    <row r="8">
      <c r="A8" s="4" t="inlineStr">
        <is>
          <t>PIR-LAB-ACC77.5</t>
        </is>
      </c>
      <c r="B8" s="4" t="inlineStr">
        <is>
          <t>Base identity</t>
        </is>
      </c>
      <c r="C8" s="4" t="inlineStr">
        <is>
          <t>Set hostname</t>
        </is>
      </c>
      <c r="D8" s="4" t="inlineStr">
        <is>
          <t>hostname PIR-LAB-ACC77-5</t>
        </is>
      </c>
      <c r="E8" s="4" t="inlineStr">
        <is>
          <t>Planned</t>
        </is>
      </c>
      <c r="F8" s="4" t="inlineStr">
        <is>
          <t>Use hyphen form if IOS rejects dot in hostname</t>
        </is>
      </c>
    </row>
    <row r="9">
      <c r="A9" s="4" t="inlineStr">
        <is>
          <t>PIR-LAB-ACC77.5</t>
        </is>
      </c>
      <c r="B9" s="4" t="inlineStr">
        <is>
          <t>Management</t>
        </is>
      </c>
      <c r="C9" s="4" t="inlineStr">
        <is>
          <t>Configure management IP</t>
        </is>
      </c>
      <c r="D9" s="4" t="inlineStr">
        <is>
          <t>VLAN 77 / management interface -&gt; 192.168.77.5/24; gateway 192.168.77.1</t>
        </is>
      </c>
      <c r="E9" s="4" t="inlineStr">
        <is>
          <t>Planned</t>
        </is>
      </c>
      <c r="F9" s="4" t="inlineStr">
        <is>
          <t>Use interface VLAN 77 for switches; routed interface for routers</t>
        </is>
      </c>
    </row>
    <row r="10">
      <c r="A10" s="4" t="inlineStr">
        <is>
          <t>PIR-LAB-ACC77.5</t>
        </is>
      </c>
      <c r="B10" s="4" t="inlineStr">
        <is>
          <t>Security</t>
        </is>
      </c>
      <c r="C10" s="4" t="inlineStr">
        <is>
          <t>Create local admin and enable remote access</t>
        </is>
      </c>
      <c r="D10" s="4" t="inlineStr">
        <is>
          <t>username admin privilege 15 secret &lt;strong-password&gt;; transport input ssh telnet</t>
        </is>
      </c>
      <c r="E10" s="4" t="inlineStr">
        <is>
          <t>Planned</t>
        </is>
      </c>
      <c r="F10" s="4" t="inlineStr">
        <is>
          <t>Prefer SSH once crypto keys are set</t>
        </is>
      </c>
    </row>
    <row r="11">
      <c r="A11" s="4" t="inlineStr">
        <is>
          <t>PIR-LAB-ACC77.5</t>
        </is>
      </c>
      <c r="B11" s="4" t="inlineStr">
        <is>
          <t>Save</t>
        </is>
      </c>
      <c r="C11" s="4" t="inlineStr">
        <is>
          <t>Save config</t>
        </is>
      </c>
      <c r="D11" s="4" t="inlineStr">
        <is>
          <t>write memory</t>
        </is>
      </c>
      <c r="E11" s="4" t="inlineStr">
        <is>
          <t>Planned</t>
        </is>
      </c>
      <c r="F11" s="4" t="inlineStr">
        <is>
          <t>Record final running-config backup later</t>
        </is>
      </c>
    </row>
    <row r="12">
      <c r="A12" s="4" t="inlineStr">
        <is>
          <t>PIR-LAB-ACC77.6</t>
        </is>
      </c>
      <c r="B12" s="4" t="inlineStr">
        <is>
          <t>Base identity</t>
        </is>
      </c>
      <c r="C12" s="4" t="inlineStr">
        <is>
          <t>Set hostname</t>
        </is>
      </c>
      <c r="D12" s="4" t="inlineStr">
        <is>
          <t>hostname PIR-LAB-ACC77-6</t>
        </is>
      </c>
      <c r="E12" s="4" t="inlineStr">
        <is>
          <t>Planned</t>
        </is>
      </c>
      <c r="F12" s="4" t="inlineStr">
        <is>
          <t>Use hyphen form if IOS rejects dot in hostname</t>
        </is>
      </c>
    </row>
    <row r="13">
      <c r="A13" s="4" t="inlineStr">
        <is>
          <t>PIR-LAB-ACC77.6</t>
        </is>
      </c>
      <c r="B13" s="4" t="inlineStr">
        <is>
          <t>Management</t>
        </is>
      </c>
      <c r="C13" s="4" t="inlineStr">
        <is>
          <t>Configure management IP</t>
        </is>
      </c>
      <c r="D13" s="4" t="inlineStr">
        <is>
          <t>VLAN 77 / management interface -&gt; 192.168.77.6/24; gateway 192.168.77.1</t>
        </is>
      </c>
      <c r="E13" s="4" t="inlineStr">
        <is>
          <t>Planned</t>
        </is>
      </c>
      <c r="F13" s="4" t="inlineStr">
        <is>
          <t>Use interface VLAN 77 for switches; routed interface for routers</t>
        </is>
      </c>
    </row>
    <row r="14">
      <c r="A14" s="4" t="inlineStr">
        <is>
          <t>PIR-LAB-ACC77.6</t>
        </is>
      </c>
      <c r="B14" s="4" t="inlineStr">
        <is>
          <t>Security</t>
        </is>
      </c>
      <c r="C14" s="4" t="inlineStr">
        <is>
          <t>Create local admin and enable remote access</t>
        </is>
      </c>
      <c r="D14" s="4" t="inlineStr">
        <is>
          <t>username admin privilege 15 secret &lt;strong-password&gt;; transport input ssh telnet</t>
        </is>
      </c>
      <c r="E14" s="4" t="inlineStr">
        <is>
          <t>Planned</t>
        </is>
      </c>
      <c r="F14" s="4" t="inlineStr">
        <is>
          <t>Prefer SSH once crypto keys are set</t>
        </is>
      </c>
    </row>
    <row r="15">
      <c r="A15" s="4" t="inlineStr">
        <is>
          <t>PIR-LAB-ACC77.6</t>
        </is>
      </c>
      <c r="B15" s="4" t="inlineStr">
        <is>
          <t>Save</t>
        </is>
      </c>
      <c r="C15" s="4" t="inlineStr">
        <is>
          <t>Save config</t>
        </is>
      </c>
      <c r="D15" s="4" t="inlineStr">
        <is>
          <t>write memory</t>
        </is>
      </c>
      <c r="E15" s="4" t="inlineStr">
        <is>
          <t>Planned</t>
        </is>
      </c>
      <c r="F15" s="4" t="inlineStr">
        <is>
          <t>Record final running-config backup later</t>
        </is>
      </c>
    </row>
    <row r="16">
      <c r="A16" s="4" t="inlineStr">
        <is>
          <t>PIR-LAB-RTR77.11</t>
        </is>
      </c>
      <c r="B16" s="4" t="inlineStr">
        <is>
          <t>Base identity</t>
        </is>
      </c>
      <c r="C16" s="4" t="inlineStr">
        <is>
          <t>Set hostname</t>
        </is>
      </c>
      <c r="D16" s="4" t="inlineStr">
        <is>
          <t>hostname PIR-LAB-RTR77-11</t>
        </is>
      </c>
      <c r="E16" s="4" t="inlineStr">
        <is>
          <t>Planned</t>
        </is>
      </c>
      <c r="F16" s="4" t="inlineStr">
        <is>
          <t>Use hyphen form if IOS rejects dot in hostname</t>
        </is>
      </c>
    </row>
    <row r="17">
      <c r="A17" s="4" t="inlineStr">
        <is>
          <t>PIR-LAB-RTR77.11</t>
        </is>
      </c>
      <c r="B17" s="4" t="inlineStr">
        <is>
          <t>Management</t>
        </is>
      </c>
      <c r="C17" s="4" t="inlineStr">
        <is>
          <t>Configure management IP</t>
        </is>
      </c>
      <c r="D17" s="4" t="inlineStr">
        <is>
          <t>VLAN 77 / management interface -&gt; 192.168.77.11/24; gateway 192.168.77.1</t>
        </is>
      </c>
      <c r="E17" s="4" t="inlineStr">
        <is>
          <t>Planned</t>
        </is>
      </c>
      <c r="F17" s="4" t="inlineStr">
        <is>
          <t>Use interface VLAN 77 for switches; routed interface for routers</t>
        </is>
      </c>
    </row>
    <row r="18">
      <c r="A18" s="4" t="inlineStr">
        <is>
          <t>PIR-LAB-RTR77.11</t>
        </is>
      </c>
      <c r="B18" s="4" t="inlineStr">
        <is>
          <t>Security</t>
        </is>
      </c>
      <c r="C18" s="4" t="inlineStr">
        <is>
          <t>Create local admin and enable remote access</t>
        </is>
      </c>
      <c r="D18" s="4" t="inlineStr">
        <is>
          <t>username admin privilege 15 secret &lt;strong-password&gt;; transport input ssh telnet</t>
        </is>
      </c>
      <c r="E18" s="4" t="inlineStr">
        <is>
          <t>Planned</t>
        </is>
      </c>
      <c r="F18" s="4" t="inlineStr">
        <is>
          <t>Prefer SSH once crypto keys are set</t>
        </is>
      </c>
    </row>
    <row r="19">
      <c r="A19" s="4" t="inlineStr">
        <is>
          <t>PIR-LAB-RTR77.11</t>
        </is>
      </c>
      <c r="B19" s="4" t="inlineStr">
        <is>
          <t>Save</t>
        </is>
      </c>
      <c r="C19" s="4" t="inlineStr">
        <is>
          <t>Save config</t>
        </is>
      </c>
      <c r="D19" s="4" t="inlineStr">
        <is>
          <t>write memory</t>
        </is>
      </c>
      <c r="E19" s="4" t="inlineStr">
        <is>
          <t>Planned</t>
        </is>
      </c>
      <c r="F19" s="4" t="inlineStr">
        <is>
          <t>Record final running-config backup later</t>
        </is>
      </c>
    </row>
    <row r="20">
      <c r="A20" s="4" t="inlineStr">
        <is>
          <t>PIR-LAB-RTR77.12</t>
        </is>
      </c>
      <c r="B20" s="4" t="inlineStr">
        <is>
          <t>Base identity</t>
        </is>
      </c>
      <c r="C20" s="4" t="inlineStr">
        <is>
          <t>Set hostname</t>
        </is>
      </c>
      <c r="D20" s="4" t="inlineStr">
        <is>
          <t>hostname PIR-LAB-RTR77-12</t>
        </is>
      </c>
      <c r="E20" s="4" t="inlineStr">
        <is>
          <t>Planned</t>
        </is>
      </c>
      <c r="F20" s="4" t="inlineStr">
        <is>
          <t>Use hyphen form if IOS rejects dot in hostname</t>
        </is>
      </c>
    </row>
    <row r="21">
      <c r="A21" s="4" t="inlineStr">
        <is>
          <t>PIR-LAB-RTR77.12</t>
        </is>
      </c>
      <c r="B21" s="4" t="inlineStr">
        <is>
          <t>Management</t>
        </is>
      </c>
      <c r="C21" s="4" t="inlineStr">
        <is>
          <t>Configure management IP</t>
        </is>
      </c>
      <c r="D21" s="4" t="inlineStr">
        <is>
          <t>VLAN 77 / management interface -&gt; 192.168.77.12/24; gateway 192.168.77.1</t>
        </is>
      </c>
      <c r="E21" s="4" t="inlineStr">
        <is>
          <t>Planned</t>
        </is>
      </c>
      <c r="F21" s="4" t="inlineStr">
        <is>
          <t>Use interface VLAN 77 for switches; routed interface for routers</t>
        </is>
      </c>
    </row>
    <row r="22">
      <c r="A22" s="4" t="inlineStr">
        <is>
          <t>PIR-LAB-RTR77.12</t>
        </is>
      </c>
      <c r="B22" s="4" t="inlineStr">
        <is>
          <t>Security</t>
        </is>
      </c>
      <c r="C22" s="4" t="inlineStr">
        <is>
          <t>Create local admin and enable remote access</t>
        </is>
      </c>
      <c r="D22" s="4" t="inlineStr">
        <is>
          <t>username admin privilege 15 secret &lt;strong-password&gt;; transport input ssh telnet</t>
        </is>
      </c>
      <c r="E22" s="4" t="inlineStr">
        <is>
          <t>Planned</t>
        </is>
      </c>
      <c r="F22" s="4" t="inlineStr">
        <is>
          <t>Prefer SSH once crypto keys are set</t>
        </is>
      </c>
    </row>
    <row r="23">
      <c r="A23" s="4" t="inlineStr">
        <is>
          <t>PIR-LAB-RTR77.12</t>
        </is>
      </c>
      <c r="B23" s="4" t="inlineStr">
        <is>
          <t>Save</t>
        </is>
      </c>
      <c r="C23" s="4" t="inlineStr">
        <is>
          <t>Save config</t>
        </is>
      </c>
      <c r="D23" s="4" t="inlineStr">
        <is>
          <t>write memory</t>
        </is>
      </c>
      <c r="E23" s="4" t="inlineStr">
        <is>
          <t>Planned</t>
        </is>
      </c>
      <c r="F23" s="4" t="inlineStr">
        <is>
          <t>Record final running-config backup later</t>
        </is>
      </c>
    </row>
    <row r="24">
      <c r="A24" s="4" t="inlineStr">
        <is>
          <t>PIR-LAB-VGW77.13</t>
        </is>
      </c>
      <c r="B24" s="4" t="inlineStr">
        <is>
          <t>Base identity</t>
        </is>
      </c>
      <c r="C24" s="4" t="inlineStr">
        <is>
          <t>Set hostname</t>
        </is>
      </c>
      <c r="D24" s="4" t="inlineStr">
        <is>
          <t>hostname PIR-LAB-VGW77-13</t>
        </is>
      </c>
      <c r="E24" s="4" t="inlineStr">
        <is>
          <t>Planned</t>
        </is>
      </c>
      <c r="F24" s="4" t="inlineStr">
        <is>
          <t>Use hyphen form if IOS rejects dot in hostname</t>
        </is>
      </c>
    </row>
    <row r="25">
      <c r="A25" s="4" t="inlineStr">
        <is>
          <t>PIR-LAB-VGW77.13</t>
        </is>
      </c>
      <c r="B25" s="4" t="inlineStr">
        <is>
          <t>Management</t>
        </is>
      </c>
      <c r="C25" s="4" t="inlineStr">
        <is>
          <t>Configure management IP</t>
        </is>
      </c>
      <c r="D25" s="4" t="inlineStr">
        <is>
          <t>VLAN 77 / management interface -&gt; 192.168.77.13/24; gateway 192.168.77.1</t>
        </is>
      </c>
      <c r="E25" s="4" t="inlineStr">
        <is>
          <t>Planned</t>
        </is>
      </c>
      <c r="F25" s="4" t="inlineStr">
        <is>
          <t>Use interface VLAN 77 for switches; routed interface for routers</t>
        </is>
      </c>
    </row>
    <row r="26">
      <c r="A26" s="4" t="inlineStr">
        <is>
          <t>PIR-LAB-VGW77.13</t>
        </is>
      </c>
      <c r="B26" s="4" t="inlineStr">
        <is>
          <t>Security</t>
        </is>
      </c>
      <c r="C26" s="4" t="inlineStr">
        <is>
          <t>Create local admin and enable remote access</t>
        </is>
      </c>
      <c r="D26" s="4" t="inlineStr">
        <is>
          <t>username admin privilege 15 secret &lt;strong-password&gt;; transport input ssh telnet</t>
        </is>
      </c>
      <c r="E26" s="4" t="inlineStr">
        <is>
          <t>Planned</t>
        </is>
      </c>
      <c r="F26" s="4" t="inlineStr">
        <is>
          <t>Prefer SSH once crypto keys are set</t>
        </is>
      </c>
    </row>
    <row r="27">
      <c r="A27" s="4" t="inlineStr">
        <is>
          <t>PIR-LAB-VGW77.13</t>
        </is>
      </c>
      <c r="B27" s="4" t="inlineStr">
        <is>
          <t>Save</t>
        </is>
      </c>
      <c r="C27" s="4" t="inlineStr">
        <is>
          <t>Save config</t>
        </is>
      </c>
      <c r="D27" s="4" t="inlineStr">
        <is>
          <t>write memory</t>
        </is>
      </c>
      <c r="E27" s="4" t="inlineStr">
        <is>
          <t>Planned</t>
        </is>
      </c>
      <c r="F27" s="4" t="inlineStr">
        <is>
          <t>Record final running-config backup later</t>
        </is>
      </c>
    </row>
    <row r="28">
      <c r="A28" s="4" t="inlineStr">
        <is>
          <t>PIR-LAB-GW77.1</t>
        </is>
      </c>
      <c r="B28" s="4" t="inlineStr">
        <is>
          <t>DHCP</t>
        </is>
      </c>
      <c r="C28" s="4" t="inlineStr">
        <is>
          <t>Restrict DHCP scope</t>
        </is>
      </c>
      <c r="D28" s="4" t="inlineStr">
        <is>
          <t>Serve 192.168.77.100-192.168.77.199 only</t>
        </is>
      </c>
      <c r="E28" s="4" t="inlineStr">
        <is>
          <t>Planned</t>
        </is>
      </c>
      <c r="F28" s="4" t="inlineStr">
        <is>
          <t>Keep .1-.99 static for infrastructure</t>
        </is>
      </c>
    </row>
    <row r="29">
      <c r="A29" s="4" t="inlineStr">
        <is>
          <t>PIR-LAB-CUCM77.20</t>
        </is>
      </c>
      <c r="B29" s="4" t="inlineStr">
        <is>
          <t>Server IP</t>
        </is>
      </c>
      <c r="C29" s="4" t="inlineStr">
        <is>
          <t>Set static CUCM address</t>
        </is>
      </c>
      <c r="D29" s="4" t="inlineStr">
        <is>
          <t>192.168.77.20/24 gw 192.168.77.1 dns 192.168.77.1</t>
        </is>
      </c>
      <c r="E29" s="4" t="inlineStr">
        <is>
          <t>Planned</t>
        </is>
      </c>
      <c r="F29" s="4" t="inlineStr">
        <is>
          <t>Set NTP before voice testing</t>
        </is>
      </c>
    </row>
  </sheetData>
  <autoFilter ref="A3:F37"/>
  <mergeCells count="2">
    <mergeCell ref="A2:F2"/>
    <mergeCell ref="A1:F1"/>
  </mergeCells>
  <dataValidations count="1">
    <dataValidation sqref="E4:E37" showDropDown="0" showInputMessage="0" showErrorMessage="0" allowBlank="0" type="list">
      <formula1>"Planned,In Progress,Confirmed,Needs Check,Retired"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1" customWidth="1" min="4" max="4"/>
    <col width="19" customWidth="1" min="5" max="5"/>
    <col width="10" customWidth="1" min="6" max="6"/>
    <col width="42" customWidth="1" min="7" max="7"/>
    <col width="31" customWidth="1" min="8" max="8"/>
  </cols>
  <sheetData>
    <row r="1" ht="24" customHeight="1">
      <c r="A1" s="6" t="inlineStr">
        <is>
          <t>TraceEveryLink Import</t>
        </is>
      </c>
    </row>
    <row r="2" ht="32" customHeight="1">
      <c r="A2" s="7" t="inlineStr">
        <is>
          <t>这张可用于和系统里的 planned cables 对照，现场确认后同步改为 confirmed。</t>
        </is>
      </c>
    </row>
    <row r="3">
      <c r="A3" s="8" t="inlineStr">
        <is>
          <t>Cable ID</t>
        </is>
      </c>
      <c r="B3" s="8" t="inlineStr">
        <is>
          <t>Status</t>
        </is>
      </c>
      <c r="C3" s="8" t="inlineStr">
        <is>
          <t>From Device</t>
        </is>
      </c>
      <c r="D3" s="8" t="inlineStr">
        <is>
          <t>From Port</t>
        </is>
      </c>
      <c r="E3" s="8" t="inlineStr">
        <is>
          <t>To Device</t>
        </is>
      </c>
      <c r="F3" s="8" t="inlineStr">
        <is>
          <t>To Port</t>
        </is>
      </c>
      <c r="G3" s="8" t="inlineStr">
        <is>
          <t>VLAN / Trunk</t>
        </is>
      </c>
      <c r="H3" s="8" t="inlineStr">
        <is>
          <t>Purpose</t>
        </is>
      </c>
    </row>
    <row r="4">
      <c r="A4" s="4" t="inlineStr">
        <is>
          <t>CBL-PIR-GW77-1-CORE77-2</t>
        </is>
      </c>
      <c r="B4" s="4" t="inlineStr">
        <is>
          <t>Planned</t>
        </is>
      </c>
      <c r="C4" s="4" t="inlineStr">
        <is>
          <t>PIR-LAB-GW77.1</t>
        </is>
      </c>
      <c r="D4" s="4" t="inlineStr">
        <is>
          <t>lan1</t>
        </is>
      </c>
      <c r="E4" s="4" t="inlineStr">
        <is>
          <t>PIR-LAB-CORE77.2</t>
        </is>
      </c>
      <c r="F4" s="4" t="inlineStr">
        <is>
          <t>Gi1/0/48</t>
        </is>
      </c>
      <c r="G4" s="4" t="inlineStr">
        <is>
          <t>VLAN 77 access now; phase 2 trunk 77,78,79,80,81,82</t>
        </is>
      </c>
      <c r="H4" s="4" t="inlineStr">
        <is>
          <t>iStoreOS uplink to core</t>
        </is>
      </c>
    </row>
    <row r="5">
      <c r="A5" s="4" t="inlineStr">
        <is>
          <t>CBL-PIR-CORE77-2-ACC77-5</t>
        </is>
      </c>
      <c r="B5" s="4" t="inlineStr">
        <is>
          <t>Planned</t>
        </is>
      </c>
      <c r="C5" s="4" t="inlineStr">
        <is>
          <t>PIR-LAB-CORE77.2</t>
        </is>
      </c>
      <c r="D5" s="4" t="inlineStr">
        <is>
          <t>Gi1/0/51</t>
        </is>
      </c>
      <c r="E5" s="4" t="inlineStr">
        <is>
          <t>PIR-LAB-ACC77.5</t>
        </is>
      </c>
      <c r="F5" s="4" t="inlineStr">
        <is>
          <t>Gi1/0/49</t>
        </is>
      </c>
      <c r="G5" s="4" t="inlineStr">
        <is>
          <t>Trunk allow 77,78,79,80,81,82</t>
        </is>
      </c>
      <c r="H5" s="4" t="inlineStr">
        <is>
          <t>Core to 2960-X access 1</t>
        </is>
      </c>
    </row>
    <row r="6">
      <c r="A6" s="4" t="inlineStr">
        <is>
          <t>CBL-PIR-CORE77-2-ACC77-6</t>
        </is>
      </c>
      <c r="B6" s="4" t="inlineStr">
        <is>
          <t>Planned</t>
        </is>
      </c>
      <c r="C6" s="4" t="inlineStr">
        <is>
          <t>PIR-LAB-CORE77.2</t>
        </is>
      </c>
      <c r="D6" s="4" t="inlineStr">
        <is>
          <t>Gi1/0/52</t>
        </is>
      </c>
      <c r="E6" s="4" t="inlineStr">
        <is>
          <t>PIR-LAB-ACC77.6</t>
        </is>
      </c>
      <c r="F6" s="4" t="inlineStr">
        <is>
          <t>Gi1/0/49</t>
        </is>
      </c>
      <c r="G6" s="4" t="inlineStr">
        <is>
          <t>Trunk allow 77,78,79,80,81,82</t>
        </is>
      </c>
      <c r="H6" s="4" t="inlineStr">
        <is>
          <t>Core to 2960-X access 2</t>
        </is>
      </c>
    </row>
    <row r="7">
      <c r="A7" s="4" t="inlineStr">
        <is>
          <t>CBL-PIR-CORE77-2-RTR77-11</t>
        </is>
      </c>
      <c r="B7" s="4" t="inlineStr">
        <is>
          <t>Planned</t>
        </is>
      </c>
      <c r="C7" s="4" t="inlineStr">
        <is>
          <t>PIR-LAB-CORE77.2</t>
        </is>
      </c>
      <c r="D7" s="4" t="inlineStr">
        <is>
          <t>Gi1/0/11</t>
        </is>
      </c>
      <c r="E7" s="4" t="inlineStr">
        <is>
          <t>PIR-LAB-RTR77.11</t>
        </is>
      </c>
      <c r="F7" s="4" t="inlineStr">
        <is>
          <t>Gi0/0</t>
        </is>
      </c>
      <c r="G7" s="4" t="inlineStr">
        <is>
          <t>Access VLAN 77</t>
        </is>
      </c>
      <c r="H7" s="4" t="inlineStr">
        <is>
          <t>1911 management / lab uplink</t>
        </is>
      </c>
    </row>
    <row r="8">
      <c r="A8" s="4" t="inlineStr">
        <is>
          <t>CBL-PIR-CORE77-2-RTR77-12</t>
        </is>
      </c>
      <c r="B8" s="4" t="inlineStr">
        <is>
          <t>Planned</t>
        </is>
      </c>
      <c r="C8" s="4" t="inlineStr">
        <is>
          <t>PIR-LAB-CORE77.2</t>
        </is>
      </c>
      <c r="D8" s="4" t="inlineStr">
        <is>
          <t>Gi1/0/12</t>
        </is>
      </c>
      <c r="E8" s="4" t="inlineStr">
        <is>
          <t>PIR-LAB-RTR77.12</t>
        </is>
      </c>
      <c r="F8" s="4" t="inlineStr">
        <is>
          <t>Fa0/0</t>
        </is>
      </c>
      <c r="G8" s="4" t="inlineStr">
        <is>
          <t>Access VLAN 77</t>
        </is>
      </c>
      <c r="H8" s="4" t="inlineStr">
        <is>
          <t>2811 router management</t>
        </is>
      </c>
    </row>
    <row r="9">
      <c r="A9" s="4" t="inlineStr">
        <is>
          <t>CBL-PIR-CORE77-2-VGW77-13</t>
        </is>
      </c>
      <c r="B9" s="4" t="inlineStr">
        <is>
          <t>Planned</t>
        </is>
      </c>
      <c r="C9" s="4" t="inlineStr">
        <is>
          <t>PIR-LAB-CORE77.2</t>
        </is>
      </c>
      <c r="D9" s="4" t="inlineStr">
        <is>
          <t>Gi1/0/13</t>
        </is>
      </c>
      <c r="E9" s="4" t="inlineStr">
        <is>
          <t>PIR-LAB-VGW77.13</t>
        </is>
      </c>
      <c r="F9" s="4" t="inlineStr">
        <is>
          <t>Fa0/0</t>
        </is>
      </c>
      <c r="G9" s="4" t="inlineStr">
        <is>
          <t>Access VLAN 77</t>
        </is>
      </c>
      <c r="H9" s="4" t="inlineStr">
        <is>
          <t>2811 voice gateway management</t>
        </is>
      </c>
    </row>
    <row r="10">
      <c r="A10" s="4" t="inlineStr">
        <is>
          <t>CBL-PIR-CORE77-2-CUCM77-20</t>
        </is>
      </c>
      <c r="B10" s="4" t="inlineStr">
        <is>
          <t>Planned</t>
        </is>
      </c>
      <c r="C10" s="4" t="inlineStr">
        <is>
          <t>PIR-LAB-CORE77.2</t>
        </is>
      </c>
      <c r="D10" s="4" t="inlineStr">
        <is>
          <t>Gi1/0/20</t>
        </is>
      </c>
      <c r="E10" s="4" t="inlineStr">
        <is>
          <t>PIR-LAB-CUCM77.20</t>
        </is>
      </c>
      <c r="F10" s="4" t="inlineStr">
        <is>
          <t>eth0</t>
        </is>
      </c>
      <c r="G10" s="4" t="inlineStr">
        <is>
          <t>Access VLAN 77 initially</t>
        </is>
      </c>
      <c r="H10" s="4" t="inlineStr">
        <is>
          <t>CUCM server LAN</t>
        </is>
      </c>
    </row>
  </sheetData>
  <autoFilter ref="A3:H12"/>
  <mergeCells count="2">
    <mergeCell ref="A2:H2"/>
    <mergeCell ref="A1:H1"/>
  </mergeCells>
  <dataValidations count="1">
    <dataValidation sqref="B4:B12" showDropDown="0" showInputMessage="0" showErrorMessage="0" allowBlank="0" type="list">
      <formula1>"Planned,In Progress,Confirmed,Needs Check,Retired"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1" customWidth="1" min="4" max="4"/>
    <col width="12" customWidth="1" min="5" max="5"/>
    <col width="21" customWidth="1" min="6" max="6"/>
  </cols>
  <sheetData>
    <row r="1" ht="24" customHeight="1">
      <c r="A1" s="6" t="inlineStr">
        <is>
          <t>Labels</t>
        </is>
      </c>
    </row>
    <row r="2" ht="32" customHeight="1">
      <c r="A2" s="7" t="inlineStr">
        <is>
          <t>可复制 Label Text 到标签机模板；线缆标签建议两端都贴。</t>
        </is>
      </c>
    </row>
    <row r="3">
      <c r="A3" s="8" t="inlineStr">
        <is>
          <t>Label Type</t>
        </is>
      </c>
      <c r="B3" s="8" t="inlineStr">
        <is>
          <t>Item ID</t>
        </is>
      </c>
      <c r="C3" s="8" t="inlineStr">
        <is>
          <t>Label Text</t>
        </is>
      </c>
      <c r="D3" s="8" t="inlineStr">
        <is>
          <t>Rack</t>
        </is>
      </c>
      <c r="E3" s="8" t="inlineStr">
        <is>
          <t>U Position</t>
        </is>
      </c>
      <c r="F3" s="8" t="inlineStr">
        <is>
          <t>Print / Color Notes</t>
        </is>
      </c>
    </row>
    <row r="4">
      <c r="A4" s="4" t="inlineStr">
        <is>
          <t>Device</t>
        </is>
      </c>
      <c r="B4" s="4" t="inlineStr">
        <is>
          <t>PIR-LAB-GW77.1</t>
        </is>
      </c>
      <c r="C4" s="4" t="inlineStr">
        <is>
          <t>PIR-LAB-GW77.1
192.168.77.1
Gateway</t>
        </is>
      </c>
      <c r="D4" s="4" t="inlineStr">
        <is>
          <t>External / upstream</t>
        </is>
      </c>
      <c r="E4" s="4" t="inlineStr"/>
      <c r="F4" s="4" t="inlineStr">
        <is>
          <t>Print device label</t>
        </is>
      </c>
    </row>
    <row r="5">
      <c r="A5" s="4" t="inlineStr">
        <is>
          <t>Device</t>
        </is>
      </c>
      <c r="B5" s="4" t="inlineStr">
        <is>
          <t>PIR-LAB-CORE77.2</t>
        </is>
      </c>
      <c r="C5" s="4" t="inlineStr">
        <is>
          <t>PIR-LAB-CORE77.2
192.168.77.2
Core switch</t>
        </is>
      </c>
      <c r="D5" s="4" t="inlineStr">
        <is>
          <t>PIR-LAB-R01</t>
        </is>
      </c>
      <c r="E5" s="4" t="inlineStr">
        <is>
          <t>U42</t>
        </is>
      </c>
      <c r="F5" s="4" t="inlineStr">
        <is>
          <t>Print device label</t>
        </is>
      </c>
    </row>
    <row r="6">
      <c r="A6" s="4" t="inlineStr">
        <is>
          <t>Device</t>
        </is>
      </c>
      <c r="B6" s="4" t="inlineStr">
        <is>
          <t>PIR-LAB-ACC77.5</t>
        </is>
      </c>
      <c r="C6" s="4" t="inlineStr">
        <is>
          <t>PIR-LAB-ACC77.5
192.168.77.5
Access switch</t>
        </is>
      </c>
      <c r="D6" s="4" t="inlineStr">
        <is>
          <t>PIR-LAB-R01</t>
        </is>
      </c>
      <c r="E6" s="4" t="inlineStr">
        <is>
          <t>U39</t>
        </is>
      </c>
      <c r="F6" s="4" t="inlineStr">
        <is>
          <t>Print device label</t>
        </is>
      </c>
    </row>
    <row r="7">
      <c r="A7" s="4" t="inlineStr">
        <is>
          <t>Device</t>
        </is>
      </c>
      <c r="B7" s="4" t="inlineStr">
        <is>
          <t>PIR-LAB-ACC77.6</t>
        </is>
      </c>
      <c r="C7" s="4" t="inlineStr">
        <is>
          <t>PIR-LAB-ACC77.6
192.168.77.6
Access switch</t>
        </is>
      </c>
      <c r="D7" s="4" t="inlineStr">
        <is>
          <t>PIR-LAB-R01</t>
        </is>
      </c>
      <c r="E7" s="4" t="inlineStr">
        <is>
          <t>U38</t>
        </is>
      </c>
      <c r="F7" s="4" t="inlineStr">
        <is>
          <t>Print device label</t>
        </is>
      </c>
    </row>
    <row r="8">
      <c r="A8" s="4" t="inlineStr">
        <is>
          <t>Device</t>
        </is>
      </c>
      <c r="B8" s="4" t="inlineStr">
        <is>
          <t>PIR-LAB-RTR77.11</t>
        </is>
      </c>
      <c r="C8" s="4" t="inlineStr">
        <is>
          <t>PIR-LAB-RTR77.11
192.168.77.11
Router</t>
        </is>
      </c>
      <c r="D8" s="4" t="inlineStr">
        <is>
          <t>PIR-LAB-R01</t>
        </is>
      </c>
      <c r="E8" s="4" t="inlineStr">
        <is>
          <t>U36</t>
        </is>
      </c>
      <c r="F8" s="4" t="inlineStr">
        <is>
          <t>Print device label</t>
        </is>
      </c>
    </row>
    <row r="9">
      <c r="A9" s="4" t="inlineStr">
        <is>
          <t>Device</t>
        </is>
      </c>
      <c r="B9" s="4" t="inlineStr">
        <is>
          <t>PIR-LAB-RTR77.12</t>
        </is>
      </c>
      <c r="C9" s="4" t="inlineStr">
        <is>
          <t>PIR-LAB-RTR77.12
192.168.77.12
Router</t>
        </is>
      </c>
      <c r="D9" s="4" t="inlineStr">
        <is>
          <t>PIR-LAB-R01</t>
        </is>
      </c>
      <c r="E9" s="4" t="inlineStr">
        <is>
          <t>U35</t>
        </is>
      </c>
      <c r="F9" s="4" t="inlineStr">
        <is>
          <t>Print device label</t>
        </is>
      </c>
    </row>
    <row r="10">
      <c r="A10" s="4" t="inlineStr">
        <is>
          <t>Device</t>
        </is>
      </c>
      <c r="B10" s="4" t="inlineStr">
        <is>
          <t>PIR-LAB-VGW77.13</t>
        </is>
      </c>
      <c r="C10" s="4" t="inlineStr">
        <is>
          <t>PIR-LAB-VGW77.13
192.168.77.13
Voice gateway</t>
        </is>
      </c>
      <c r="D10" s="4" t="inlineStr">
        <is>
          <t>PIR-LAB-R01</t>
        </is>
      </c>
      <c r="E10" s="4" t="inlineStr">
        <is>
          <t>U34</t>
        </is>
      </c>
      <c r="F10" s="4" t="inlineStr">
        <is>
          <t>Print device label</t>
        </is>
      </c>
    </row>
    <row r="11">
      <c r="A11" s="4" t="inlineStr">
        <is>
          <t>Device</t>
        </is>
      </c>
      <c r="B11" s="4" t="inlineStr">
        <is>
          <t>PIR-LAB-CUCM77.20</t>
        </is>
      </c>
      <c r="C11" s="4" t="inlineStr">
        <is>
          <t>PIR-LAB-CUCM77.20
192.168.77.20
CUCM server</t>
        </is>
      </c>
      <c r="D11" s="4" t="inlineStr">
        <is>
          <t>PIR-LAB-R01</t>
        </is>
      </c>
      <c r="E11" s="4" t="inlineStr">
        <is>
          <t>U31-U32</t>
        </is>
      </c>
      <c r="F11" s="4" t="inlineStr">
        <is>
          <t>Print device label</t>
        </is>
      </c>
    </row>
    <row r="12">
      <c r="A12" s="4" t="inlineStr">
        <is>
          <t>Cable</t>
        </is>
      </c>
      <c r="B12" s="4" t="inlineStr">
        <is>
          <t>CBL-PIR-GW77-1-CORE77-2</t>
        </is>
      </c>
      <c r="C12" s="4" t="inlineStr">
        <is>
          <t>CBL-PIR-GW77-1-CORE77-2
PIR-LAB-GW77.1 lan1
TO PIR-LAB-CORE77.2 Gi1/0/48</t>
        </is>
      </c>
      <c r="D12" s="4" t="inlineStr">
        <is>
          <t>PIR-LAB-R01</t>
        </is>
      </c>
      <c r="E12" s="4" t="inlineStr"/>
      <c r="F12" s="4" t="inlineStr">
        <is>
          <t>Blue</t>
        </is>
      </c>
    </row>
    <row r="13">
      <c r="A13" s="4" t="inlineStr">
        <is>
          <t>Cable</t>
        </is>
      </c>
      <c r="B13" s="4" t="inlineStr">
        <is>
          <t>CBL-PIR-CORE77-2-ACC77-5</t>
        </is>
      </c>
      <c r="C13" s="4" t="inlineStr">
        <is>
          <t>CBL-PIR-CORE77-2-ACC77-5
PIR-LAB-CORE77.2 Gi1/0/51
TO PIR-LAB-ACC77.5 Gi1/0/49</t>
        </is>
      </c>
      <c r="D13" s="4" t="inlineStr">
        <is>
          <t>PIR-LAB-R01</t>
        </is>
      </c>
      <c r="E13" s="4" t="inlineStr"/>
      <c r="F13" s="4" t="inlineStr">
        <is>
          <t>Aqua</t>
        </is>
      </c>
    </row>
    <row r="14">
      <c r="A14" s="4" t="inlineStr">
        <is>
          <t>Cable</t>
        </is>
      </c>
      <c r="B14" s="4" t="inlineStr">
        <is>
          <t>CBL-PIR-CORE77-2-ACC77-6</t>
        </is>
      </c>
      <c r="C14" s="4" t="inlineStr">
        <is>
          <t>CBL-PIR-CORE77-2-ACC77-6
PIR-LAB-CORE77.2 Gi1/0/52
TO PIR-LAB-ACC77.6 Gi1/0/49</t>
        </is>
      </c>
      <c r="D14" s="4" t="inlineStr">
        <is>
          <t>PIR-LAB-R01</t>
        </is>
      </c>
      <c r="E14" s="4" t="inlineStr"/>
      <c r="F14" s="4" t="inlineStr">
        <is>
          <t>Aqua</t>
        </is>
      </c>
    </row>
    <row r="15">
      <c r="A15" s="4" t="inlineStr">
        <is>
          <t>Cable</t>
        </is>
      </c>
      <c r="B15" s="4" t="inlineStr">
        <is>
          <t>CBL-PIR-CORE77-2-RTR77-11</t>
        </is>
      </c>
      <c r="C15" s="4" t="inlineStr">
        <is>
          <t>CBL-PIR-CORE77-2-RTR77-11
PIR-LAB-CORE77.2 Gi1/0/11
TO PIR-LAB-RTR77.11 Gi0/0</t>
        </is>
      </c>
      <c r="D15" s="4" t="inlineStr">
        <is>
          <t>PIR-LAB-R01</t>
        </is>
      </c>
      <c r="E15" s="4" t="inlineStr"/>
      <c r="F15" s="4" t="inlineStr">
        <is>
          <t>Yellow</t>
        </is>
      </c>
    </row>
    <row r="16">
      <c r="A16" s="4" t="inlineStr">
        <is>
          <t>Cable</t>
        </is>
      </c>
      <c r="B16" s="4" t="inlineStr">
        <is>
          <t>CBL-PIR-CORE77-2-RTR77-12</t>
        </is>
      </c>
      <c r="C16" s="4" t="inlineStr">
        <is>
          <t>CBL-PIR-CORE77-2-RTR77-12
PIR-LAB-CORE77.2 Gi1/0/12
TO PIR-LAB-RTR77.12 Fa0/0</t>
        </is>
      </c>
      <c r="D16" s="4" t="inlineStr">
        <is>
          <t>PIR-LAB-R01</t>
        </is>
      </c>
      <c r="E16" s="4" t="inlineStr"/>
      <c r="F16" s="4" t="inlineStr">
        <is>
          <t>Yellow</t>
        </is>
      </c>
    </row>
    <row r="17">
      <c r="A17" s="4" t="inlineStr">
        <is>
          <t>Cable</t>
        </is>
      </c>
      <c r="B17" s="4" t="inlineStr">
        <is>
          <t>CBL-PIR-CORE77-2-VGW77-13</t>
        </is>
      </c>
      <c r="C17" s="4" t="inlineStr">
        <is>
          <t>CBL-PIR-CORE77-2-VGW77-13
PIR-LAB-CORE77.2 Gi1/0/13
TO PIR-LAB-VGW77.13 Fa0/0</t>
        </is>
      </c>
      <c r="D17" s="4" t="inlineStr">
        <is>
          <t>PIR-LAB-R01</t>
        </is>
      </c>
      <c r="E17" s="4" t="inlineStr"/>
      <c r="F17" s="4" t="inlineStr">
        <is>
          <t>Yellow</t>
        </is>
      </c>
    </row>
    <row r="18">
      <c r="A18" s="4" t="inlineStr">
        <is>
          <t>Cable</t>
        </is>
      </c>
      <c r="B18" s="4" t="inlineStr">
        <is>
          <t>CBL-PIR-CORE77-2-CUCM77-20</t>
        </is>
      </c>
      <c r="C18" s="4" t="inlineStr">
        <is>
          <t>CBL-PIR-CORE77-2-CUCM77-20
PIR-LAB-CORE77.2 Gi1/0/20
TO PIR-LAB-CUCM77.20 eth0</t>
        </is>
      </c>
      <c r="D18" s="4" t="inlineStr">
        <is>
          <t>PIR-LAB-R01</t>
        </is>
      </c>
      <c r="E18" s="4" t="inlineStr"/>
      <c r="F18" s="4" t="inlineStr">
        <is>
          <t>Purple</t>
        </is>
      </c>
    </row>
  </sheetData>
  <autoFilter ref="A3:F22"/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PIR-LAB Patch Plan 77-82 no 3560</dc:title>
  <dc:subject xmlns:dc="http://purl.org/dc/elements/1.1/">Pirelli office lab TraceEveryLink patch plan</dc:subject>
  <dcterms:created xmlns:dcterms="http://purl.org/dc/terms/" xmlns:xsi="http://www.w3.org/2001/XMLSchema-instance" xsi:type="dcterms:W3CDTF">2026-06-18T04:07:39Z</dcterms:created>
  <dcterms:modified xmlns:dcterms="http://purl.org/dc/terms/" xmlns:xsi="http://www.w3.org/2001/XMLSchema-instance" xsi:type="dcterms:W3CDTF">2026-06-18T07:07:55Z</dcterms:modified>
  <cp:keywords>TraceEveryLink, PatchPlan, Cisco, Pirelli, PIR-LAB</cp:keywords>
</cp:coreProperties>
</file>